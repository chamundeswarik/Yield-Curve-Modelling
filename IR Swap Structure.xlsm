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Conn\Spring 2020\5661\"/>
    </mc:Choice>
  </mc:AlternateContent>
  <bookViews>
    <workbookView xWindow="480" yWindow="75" windowWidth="18315" windowHeight="11820"/>
  </bookViews>
  <sheets>
    <sheet name="IR Swap" sheetId="1" r:id="rId1"/>
  </sheets>
  <functionGroups builtInGroupCount="18"/>
  <definedNames>
    <definedName name="_xlnm.Print_Area" localSheetId="0">'IR Swap'!$A$1:$S$26</definedName>
  </definedNames>
  <calcPr calcId="162913"/>
</workbook>
</file>

<file path=xl/calcChain.xml><?xml version="1.0" encoding="utf-8"?>
<calcChain xmlns="http://schemas.openxmlformats.org/spreadsheetml/2006/main">
  <c r="J4" i="1" l="1"/>
  <c r="H4" i="1" s="1"/>
  <c r="L4" i="1"/>
  <c r="L5" i="1"/>
  <c r="L6" i="1"/>
  <c r="L7" i="1"/>
  <c r="K4" i="1" l="1"/>
  <c r="I5" i="1"/>
  <c r="J5" i="1"/>
  <c r="K5" i="1" s="1"/>
  <c r="M5" i="1"/>
  <c r="H5" i="1" l="1"/>
  <c r="I6" i="1"/>
  <c r="J6" i="1"/>
  <c r="K6" i="1" s="1"/>
  <c r="H6" i="1" l="1"/>
  <c r="I7" i="1"/>
  <c r="J7" i="1"/>
  <c r="K7" i="1" s="1"/>
  <c r="M7" i="1"/>
  <c r="H7" i="1" l="1"/>
  <c r="I8" i="1"/>
  <c r="J8" i="1"/>
  <c r="K8" i="1" s="1"/>
  <c r="L8" i="1"/>
  <c r="H8" i="1" l="1"/>
  <c r="I9" i="1"/>
  <c r="J9" i="1"/>
  <c r="H9" i="1" s="1"/>
  <c r="K9" i="1"/>
  <c r="I10" i="1"/>
  <c r="J10" i="1"/>
  <c r="H10" i="1" s="1"/>
  <c r="K10" i="1"/>
  <c r="I11" i="1"/>
  <c r="J11" i="1"/>
  <c r="H11" i="1" s="1"/>
  <c r="L9" i="1"/>
  <c r="M9" i="1"/>
  <c r="L10" i="1"/>
  <c r="K11" i="1" l="1"/>
  <c r="I12" i="1"/>
  <c r="J12" i="1"/>
  <c r="K12" i="1" s="1"/>
  <c r="M11" i="1"/>
  <c r="L11" i="1"/>
  <c r="L12" i="1"/>
  <c r="H12" i="1" l="1"/>
  <c r="I13" i="1"/>
  <c r="J13" i="1"/>
  <c r="H13" i="1" s="1"/>
  <c r="K13" i="1"/>
  <c r="I14" i="1"/>
  <c r="J14" i="1"/>
  <c r="H14" i="1" s="1"/>
  <c r="L13" i="1"/>
  <c r="M13" i="1"/>
  <c r="K14" i="1" l="1"/>
  <c r="I15" i="1"/>
  <c r="J15" i="1"/>
  <c r="H15" i="1" s="1"/>
  <c r="L14" i="1"/>
  <c r="K15" i="1" l="1"/>
  <c r="I16" i="1"/>
  <c r="J16" i="1"/>
  <c r="K16" i="1" s="1"/>
  <c r="M15" i="1"/>
  <c r="L15" i="1"/>
  <c r="L16" i="1"/>
  <c r="H16" i="1" l="1"/>
  <c r="I17" i="1"/>
  <c r="J17" i="1"/>
  <c r="H17" i="1" s="1"/>
  <c r="K17" i="1" l="1"/>
  <c r="I18" i="1"/>
  <c r="J18" i="1"/>
  <c r="K18" i="1" s="1"/>
  <c r="L18" i="1"/>
  <c r="L17" i="1"/>
  <c r="M17" i="1"/>
  <c r="H18" i="1" l="1"/>
  <c r="I19" i="1"/>
  <c r="J19" i="1"/>
  <c r="K19" i="1" s="1"/>
  <c r="M19" i="1"/>
  <c r="L19" i="1"/>
  <c r="H19" i="1" l="1"/>
  <c r="I20" i="1"/>
  <c r="J20" i="1"/>
  <c r="H20" i="1" s="1"/>
  <c r="K20" i="1" l="1"/>
  <c r="I21" i="1"/>
  <c r="J21" i="1"/>
  <c r="K21" i="1" s="1"/>
  <c r="L20" i="1"/>
  <c r="L21" i="1"/>
  <c r="M21" i="1"/>
  <c r="H21" i="1" l="1"/>
  <c r="I22" i="1"/>
  <c r="J22" i="1"/>
  <c r="H22" i="1" s="1"/>
  <c r="K22" i="1"/>
  <c r="I23" i="1"/>
  <c r="J23" i="1"/>
  <c r="H23" i="1" s="1"/>
  <c r="K23" i="1"/>
  <c r="E4" i="1"/>
  <c r="L22" i="1"/>
  <c r="M23" i="1"/>
  <c r="L23" i="1"/>
  <c r="N4" i="1" l="1"/>
  <c r="O4" i="1" s="1"/>
  <c r="Q4" i="1" s="1"/>
  <c r="R4" i="1" s="1"/>
  <c r="N5" i="1"/>
  <c r="O5" i="1" s="1"/>
  <c r="P5" i="1"/>
  <c r="N6" i="1" l="1"/>
  <c r="O6" i="1" s="1"/>
  <c r="Q6" i="1" s="1"/>
  <c r="R6" i="1" s="1"/>
  <c r="Q5" i="1"/>
  <c r="R5" i="1" s="1"/>
  <c r="N7" i="1" l="1"/>
  <c r="O7" i="1" s="1"/>
  <c r="P7" i="1"/>
  <c r="N8" i="1" l="1"/>
  <c r="O8" i="1" s="1"/>
  <c r="Q8" i="1" s="1"/>
  <c r="R8" i="1" s="1"/>
  <c r="Q7" i="1"/>
  <c r="R7" i="1" s="1"/>
  <c r="N9" i="1" l="1"/>
  <c r="O9" i="1" s="1"/>
  <c r="P9" i="1"/>
  <c r="N10" i="1" l="1"/>
  <c r="O10" i="1" s="1"/>
  <c r="Q10" i="1" s="1"/>
  <c r="R10" i="1" s="1"/>
  <c r="Q9" i="1"/>
  <c r="R9" i="1" s="1"/>
  <c r="N11" i="1" l="1"/>
  <c r="O11" i="1" s="1"/>
  <c r="P11" i="1"/>
  <c r="N12" i="1" l="1"/>
  <c r="O12" i="1" s="1"/>
  <c r="Q12" i="1" s="1"/>
  <c r="R12" i="1" s="1"/>
  <c r="Q11" i="1"/>
  <c r="R11" i="1" s="1"/>
  <c r="N13" i="1" l="1"/>
  <c r="O13" i="1" s="1"/>
  <c r="P13" i="1"/>
  <c r="Q13" i="1" l="1"/>
  <c r="R13" i="1" s="1"/>
  <c r="N14" i="1"/>
  <c r="O14" i="1" s="1"/>
  <c r="Q14" i="1" s="1"/>
  <c r="R14" i="1" s="1"/>
  <c r="N15" i="1" l="1"/>
  <c r="O15" i="1" s="1"/>
  <c r="P15" i="1"/>
  <c r="Q15" i="1" l="1"/>
  <c r="R15" i="1" s="1"/>
  <c r="N16" i="1"/>
  <c r="O16" i="1" s="1"/>
  <c r="Q16" i="1" s="1"/>
  <c r="R16" i="1" s="1"/>
  <c r="N17" i="1" l="1"/>
  <c r="O17" i="1" s="1"/>
  <c r="P17" i="1"/>
  <c r="Q17" i="1" l="1"/>
  <c r="R17" i="1" s="1"/>
  <c r="N18" i="1"/>
  <c r="O18" i="1" s="1"/>
  <c r="Q18" i="1" s="1"/>
  <c r="R18" i="1" s="1"/>
  <c r="N19" i="1" l="1"/>
  <c r="O19" i="1" s="1"/>
  <c r="P19" i="1"/>
  <c r="Q19" i="1" l="1"/>
  <c r="R19" i="1" s="1"/>
  <c r="N20" i="1"/>
  <c r="O20" i="1" s="1"/>
  <c r="Q20" i="1" s="1"/>
  <c r="R20" i="1" s="1"/>
  <c r="N21" i="1" l="1"/>
  <c r="O21" i="1" s="1"/>
  <c r="P21" i="1"/>
  <c r="Q21" i="1" l="1"/>
  <c r="R21" i="1" s="1"/>
  <c r="N22" i="1"/>
  <c r="O22" i="1" s="1"/>
  <c r="Q22" i="1" s="1"/>
  <c r="R22" i="1" s="1"/>
  <c r="N23" i="1"/>
  <c r="O23" i="1" s="1"/>
  <c r="P23" i="1"/>
  <c r="Q23" i="1" l="1"/>
  <c r="R23" i="1" s="1"/>
  <c r="R25" i="1" s="1"/>
</calcChain>
</file>

<file path=xl/sharedStrings.xml><?xml version="1.0" encoding="utf-8"?>
<sst xmlns="http://schemas.openxmlformats.org/spreadsheetml/2006/main" count="38" uniqueCount="32">
  <si>
    <t>Deal Definitions</t>
  </si>
  <si>
    <t>Quarterly</t>
  </si>
  <si>
    <t>Semiann</t>
  </si>
  <si>
    <t>Today</t>
  </si>
  <si>
    <t>CF Date</t>
  </si>
  <si>
    <t>Corrected</t>
  </si>
  <si>
    <t>Act/360</t>
  </si>
  <si>
    <t>30/360</t>
  </si>
  <si>
    <t>LIBOR Fwds</t>
  </si>
  <si>
    <t>float</t>
  </si>
  <si>
    <t>fixed</t>
  </si>
  <si>
    <t>Net</t>
  </si>
  <si>
    <t>PV</t>
  </si>
  <si>
    <t>Effective</t>
  </si>
  <si>
    <t>Maturity</t>
  </si>
  <si>
    <t>Notional</t>
  </si>
  <si>
    <t>Fixed Leg</t>
  </si>
  <si>
    <t>Pay</t>
  </si>
  <si>
    <t>Receive</t>
  </si>
  <si>
    <t>Daycount</t>
  </si>
  <si>
    <t>Coupon</t>
  </si>
  <si>
    <t>Cashflows</t>
  </si>
  <si>
    <t>Semiannual</t>
  </si>
  <si>
    <t>Floating Leg</t>
  </si>
  <si>
    <t>DayCount</t>
  </si>
  <si>
    <t>Index</t>
  </si>
  <si>
    <t>US0003M</t>
  </si>
  <si>
    <t>Latest Index</t>
  </si>
  <si>
    <t>Floating Coupon = Forward Rate x Time x Swap Notional Amount</t>
  </si>
  <si>
    <t>Fixed Coupon = Fixed Rate x Time x Swap Notional Amount</t>
  </si>
  <si>
    <t>DF</t>
  </si>
  <si>
    <t>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</si>
</sst>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00000"/>
    <numFmt numFmtId="165" formatCode="0.0000%"/>
    <numFmt numFmtId="166" formatCode="0.00000%"/>
    <numFmt numFmtId="167" formatCode="mm/dd/yyyy;@"/>
  </numFmts>
  <fonts count="6" x14ac:knownFonts="1">
    <font>
      <sz val="9"/>
      <color theme="1"/>
      <name val="Verdana"/>
      <family val="2"/>
    </font>
    <font>
      <sz val="9"/>
      <color theme="1"/>
      <name val="Verdana"/>
      <family val="2"/>
    </font>
    <font>
      <sz val="10"/>
      <name val="Arial"/>
      <family val="2"/>
    </font>
    <font>
      <i/>
      <sz val="6"/>
      <name val="Arial"/>
      <family val="2"/>
    </font>
    <font>
      <b/>
      <i/>
      <u/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2" borderId="0" xfId="0" applyFont="1" applyFill="1"/>
    <xf numFmtId="0" fontId="2" fillId="3" borderId="4" xfId="0" applyFont="1" applyFill="1" applyBorder="1" applyAlignment="1">
      <alignment horizontal="center"/>
    </xf>
    <xf numFmtId="0" fontId="0" fillId="2" borderId="0" xfId="0" applyFill="1"/>
    <xf numFmtId="14" fontId="2" fillId="2" borderId="0" xfId="0" applyNumberFormat="1" applyFont="1" applyFill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/>
    <xf numFmtId="164" fontId="2" fillId="2" borderId="0" xfId="0" applyNumberFormat="1" applyFont="1" applyFill="1"/>
    <xf numFmtId="165" fontId="2" fillId="2" borderId="0" xfId="2" applyNumberFormat="1" applyFont="1" applyFill="1"/>
    <xf numFmtId="43" fontId="2" fillId="2" borderId="0" xfId="0" applyNumberFormat="1" applyFont="1" applyFill="1"/>
    <xf numFmtId="3" fontId="0" fillId="2" borderId="0" xfId="0" applyNumberForma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4" fontId="4" fillId="2" borderId="0" xfId="0" applyNumberFormat="1" applyFont="1" applyFill="1"/>
    <xf numFmtId="0" fontId="0" fillId="2" borderId="0" xfId="0" applyFont="1" applyFill="1"/>
    <xf numFmtId="166" fontId="2" fillId="2" borderId="0" xfId="2" applyNumberFormat="1" applyFont="1" applyFill="1" applyAlignment="1">
      <alignment horizontal="center"/>
    </xf>
    <xf numFmtId="43" fontId="2" fillId="2" borderId="0" xfId="1" applyFont="1" applyFill="1"/>
    <xf numFmtId="0" fontId="5" fillId="3" borderId="0" xfId="0" applyFont="1" applyFill="1"/>
    <xf numFmtId="0" fontId="2" fillId="3" borderId="0" xfId="0" applyFont="1" applyFill="1"/>
    <xf numFmtId="43" fontId="2" fillId="3" borderId="0" xfId="1" applyFont="1" applyFill="1"/>
    <xf numFmtId="43" fontId="2" fillId="3" borderId="0" xfId="0" applyNumberFormat="1" applyFont="1" applyFill="1"/>
    <xf numFmtId="0" fontId="2" fillId="2" borderId="6" xfId="0" applyFont="1" applyFill="1" applyBorder="1" applyAlignment="1">
      <alignment horizontal="center"/>
    </xf>
    <xf numFmtId="167" fontId="0" fillId="2" borderId="0" xfId="0" applyNumberFormat="1" applyFont="1" applyFill="1"/>
    <xf numFmtId="164" fontId="0" fillId="2" borderId="0" xfId="0" applyNumberFormat="1" applyFont="1" applyFill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S33"/>
  <sheetViews>
    <sheetView tabSelected="1" workbookViewId="0">
      <selection activeCell="E16" sqref="E16"/>
    </sheetView>
  </sheetViews>
  <sheetFormatPr defaultRowHeight="12.75" x14ac:dyDescent="0.2"/>
  <cols>
    <col min="1" max="1" width="12.125" style="1" customWidth="1"/>
    <col min="2" max="2" width="8.375" style="1" bestFit="1" customWidth="1"/>
    <col min="3" max="3" width="1" style="1" customWidth="1"/>
    <col min="4" max="5" width="11.125" style="1" customWidth="1"/>
    <col min="6" max="6" width="8" style="1" customWidth="1"/>
    <col min="7" max="7" width="1" style="1" customWidth="1"/>
    <col min="8" max="9" width="8" style="1" customWidth="1"/>
    <col min="10" max="10" width="9.25" style="1" customWidth="1"/>
    <col min="11" max="11" width="9.125" style="1" customWidth="1"/>
    <col min="12" max="13" width="8" style="1" customWidth="1"/>
    <col min="14" max="14" width="10.375" style="1" customWidth="1"/>
    <col min="15" max="15" width="14.125" style="1" customWidth="1"/>
    <col min="16" max="16" width="15" style="1" customWidth="1"/>
    <col min="17" max="17" width="10.5" style="1" customWidth="1"/>
    <col min="18" max="18" width="11.125" style="1" customWidth="1"/>
    <col min="19" max="19" width="9" style="1"/>
  </cols>
  <sheetData>
    <row r="1" spans="1:19" x14ac:dyDescent="0.2">
      <c r="H1" s="28" t="s">
        <v>31</v>
      </c>
      <c r="I1" s="29"/>
      <c r="J1" s="29"/>
      <c r="K1" s="29"/>
      <c r="L1" s="29"/>
      <c r="M1" s="29"/>
      <c r="N1" s="29"/>
      <c r="O1" s="29"/>
      <c r="P1" s="29"/>
      <c r="Q1" s="29"/>
      <c r="R1" s="30"/>
    </row>
    <row r="2" spans="1:19" x14ac:dyDescent="0.2">
      <c r="A2" s="2"/>
      <c r="B2" s="2"/>
      <c r="D2" s="28" t="s">
        <v>0</v>
      </c>
      <c r="E2" s="29"/>
      <c r="F2" s="30"/>
      <c r="J2" s="2"/>
      <c r="K2" s="2"/>
      <c r="L2" s="2" t="s">
        <v>1</v>
      </c>
      <c r="M2" s="2" t="s">
        <v>2</v>
      </c>
      <c r="N2" s="2" t="s">
        <v>1</v>
      </c>
      <c r="O2" s="2"/>
      <c r="P2" s="2"/>
      <c r="Q2" s="2"/>
      <c r="R2" s="2"/>
    </row>
    <row r="3" spans="1:19" x14ac:dyDescent="0.2">
      <c r="A3" s="5" t="s">
        <v>4</v>
      </c>
      <c r="B3" s="5" t="s">
        <v>30</v>
      </c>
      <c r="D3" s="3" t="s">
        <v>3</v>
      </c>
      <c r="E3" s="4">
        <v>41792</v>
      </c>
      <c r="J3" s="5" t="s">
        <v>4</v>
      </c>
      <c r="K3" s="5" t="s">
        <v>5</v>
      </c>
      <c r="L3" s="5" t="s">
        <v>6</v>
      </c>
      <c r="M3" s="5" t="s">
        <v>7</v>
      </c>
      <c r="N3" s="5" t="s">
        <v>8</v>
      </c>
      <c r="O3" s="5" t="s">
        <v>9</v>
      </c>
      <c r="P3" s="5" t="s">
        <v>10</v>
      </c>
      <c r="Q3" s="5" t="s">
        <v>11</v>
      </c>
      <c r="R3" s="5" t="s">
        <v>12</v>
      </c>
      <c r="S3" s="25"/>
    </row>
    <row r="4" spans="1:19" x14ac:dyDescent="0.2">
      <c r="A4" s="26">
        <v>41886</v>
      </c>
      <c r="B4" s="27">
        <v>0.99921899999999997</v>
      </c>
      <c r="D4" s="3" t="s">
        <v>13</v>
      </c>
      <c r="E4" s="4">
        <f>E3+2</f>
        <v>41794</v>
      </c>
      <c r="H4" s="6" t="str">
        <f>TEXT(J4,"ddd")</f>
        <v>Thu</v>
      </c>
      <c r="I4" s="6">
        <v>3</v>
      </c>
      <c r="J4" s="7">
        <f t="shared" ref="J4:J13" si="0">DATE(YEAR($E$4),MONTH($E$4)+I4,DAY($E$4))</f>
        <v>41886</v>
      </c>
      <c r="K4" s="7">
        <f t="shared" ref="K4:K10" si="1">J4</f>
        <v>41886</v>
      </c>
      <c r="L4" s="8">
        <f>YearFraction($E$4,K4,2)</f>
        <v>0.25555555555555554</v>
      </c>
      <c r="M4" s="8"/>
      <c r="N4" s="9">
        <f>(1/L4)*(1/B4-1)</f>
        <v>3.0584756259853943E-3</v>
      </c>
      <c r="O4" s="10">
        <f t="shared" ref="O4:O22" si="2">N4*L4*$E$7</f>
        <v>7816.1043775182297</v>
      </c>
      <c r="P4" s="10"/>
      <c r="Q4" s="10">
        <f t="shared" ref="Q4:Q23" si="3">O4+P4</f>
        <v>7816.1043775182297</v>
      </c>
      <c r="R4" s="10">
        <f t="shared" ref="R4:R23" si="4">Q4*B4</f>
        <v>7809.9999999993879</v>
      </c>
    </row>
    <row r="5" spans="1:19" x14ac:dyDescent="0.2">
      <c r="A5" s="26">
        <v>41977</v>
      </c>
      <c r="B5" s="27">
        <v>0.998834</v>
      </c>
      <c r="D5" s="3" t="s">
        <v>14</v>
      </c>
      <c r="E5" s="4">
        <v>43620</v>
      </c>
      <c r="H5" s="6" t="str">
        <f>TEXT(J5,"ddd")</f>
        <v>Thu</v>
      </c>
      <c r="I5" s="6">
        <f t="shared" ref="I5:I23" si="5">I4+3</f>
        <v>6</v>
      </c>
      <c r="J5" s="7">
        <f t="shared" si="0"/>
        <v>41977</v>
      </c>
      <c r="K5" s="7">
        <f t="shared" si="1"/>
        <v>41977</v>
      </c>
      <c r="L5" s="8">
        <f t="shared" ref="L5:L23" si="6">YearFraction(K4,K5,2)</f>
        <v>0.25277777777777777</v>
      </c>
      <c r="M5" s="8">
        <f>YearFraction($E$4,K5,4)</f>
        <v>0.5</v>
      </c>
      <c r="N5" s="9">
        <f t="shared" ref="N5:N23" si="7">(1/L5)*(B4/B5-1)</f>
        <v>1.5248549038947581E-3</v>
      </c>
      <c r="O5" s="10">
        <f t="shared" si="2"/>
        <v>3854.4943404006381</v>
      </c>
      <c r="P5" s="10">
        <f>-$E$11*M5*$E$7</f>
        <v>-81616.712986159226</v>
      </c>
      <c r="Q5" s="10">
        <f t="shared" si="3"/>
        <v>-77762.218645758592</v>
      </c>
      <c r="R5" s="10">
        <f t="shared" si="4"/>
        <v>-77671.547898817633</v>
      </c>
    </row>
    <row r="6" spans="1:19" x14ac:dyDescent="0.2">
      <c r="A6" s="26">
        <v>42067</v>
      </c>
      <c r="B6" s="27">
        <v>0.99818700000000005</v>
      </c>
      <c r="G6" s="3"/>
      <c r="H6" s="6" t="str">
        <f t="shared" ref="H6:H23" si="8">TEXT(J6,"ddd")</f>
        <v>Wed</v>
      </c>
      <c r="I6" s="6">
        <f t="shared" si="5"/>
        <v>9</v>
      </c>
      <c r="J6" s="7">
        <f t="shared" si="0"/>
        <v>42067</v>
      </c>
      <c r="K6" s="7">
        <f t="shared" si="1"/>
        <v>42067</v>
      </c>
      <c r="L6" s="8">
        <f t="shared" si="6"/>
        <v>0.25</v>
      </c>
      <c r="M6" s="8"/>
      <c r="N6" s="9">
        <f t="shared" si="7"/>
        <v>2.5927005661259273E-3</v>
      </c>
      <c r="O6" s="10">
        <f t="shared" si="2"/>
        <v>6481.7514153148186</v>
      </c>
      <c r="P6" s="10"/>
      <c r="Q6" s="10">
        <f t="shared" si="3"/>
        <v>6481.7514153148186</v>
      </c>
      <c r="R6" s="10">
        <f t="shared" si="4"/>
        <v>6469.9999999988531</v>
      </c>
    </row>
    <row r="7" spans="1:19" x14ac:dyDescent="0.2">
      <c r="A7" s="26">
        <v>42159</v>
      </c>
      <c r="B7" s="27">
        <v>0.997363</v>
      </c>
      <c r="D7" s="3" t="s">
        <v>15</v>
      </c>
      <c r="E7" s="11">
        <v>10000000</v>
      </c>
      <c r="F7" s="12"/>
      <c r="H7" s="6" t="str">
        <f t="shared" si="8"/>
        <v>Thu</v>
      </c>
      <c r="I7" s="6">
        <f t="shared" si="5"/>
        <v>12</v>
      </c>
      <c r="J7" s="7">
        <f t="shared" si="0"/>
        <v>42159</v>
      </c>
      <c r="K7" s="7">
        <f t="shared" si="1"/>
        <v>42159</v>
      </c>
      <c r="L7" s="8">
        <f t="shared" si="6"/>
        <v>0.25555555555555554</v>
      </c>
      <c r="M7" s="8">
        <f>YearFraction(K5,K7,2)</f>
        <v>0.50555555555555554</v>
      </c>
      <c r="N7" s="9">
        <f t="shared" si="7"/>
        <v>3.2328729119561173E-3</v>
      </c>
      <c r="O7" s="10">
        <f t="shared" si="2"/>
        <v>8261.7863305545216</v>
      </c>
      <c r="P7" s="10">
        <f>-$E$11*M7*$E$7</f>
        <v>-82523.5653526721</v>
      </c>
      <c r="Q7" s="10">
        <f t="shared" si="3"/>
        <v>-74261.779022117582</v>
      </c>
      <c r="R7" s="10">
        <f t="shared" si="4"/>
        <v>-74065.95071083626</v>
      </c>
    </row>
    <row r="8" spans="1:19" x14ac:dyDescent="0.2">
      <c r="A8" s="26">
        <v>42251</v>
      </c>
      <c r="B8" s="27">
        <v>0.99618899999999999</v>
      </c>
      <c r="F8" s="12"/>
      <c r="G8" s="3"/>
      <c r="H8" s="6" t="str">
        <f t="shared" si="8"/>
        <v>Fri</v>
      </c>
      <c r="I8" s="6">
        <f t="shared" si="5"/>
        <v>15</v>
      </c>
      <c r="J8" s="7">
        <f t="shared" si="0"/>
        <v>42251</v>
      </c>
      <c r="K8" s="7">
        <f t="shared" si="1"/>
        <v>42251</v>
      </c>
      <c r="L8" s="8">
        <f t="shared" si="6"/>
        <v>0.25555555555555554</v>
      </c>
      <c r="M8" s="8"/>
      <c r="N8" s="9">
        <f t="shared" si="7"/>
        <v>4.6114874220437594E-3</v>
      </c>
      <c r="O8" s="10">
        <f t="shared" si="2"/>
        <v>11784.912300778497</v>
      </c>
      <c r="P8" s="10"/>
      <c r="Q8" s="10">
        <f t="shared" si="3"/>
        <v>11784.912300778497</v>
      </c>
      <c r="R8" s="10">
        <f t="shared" si="4"/>
        <v>11740.000000000229</v>
      </c>
    </row>
    <row r="9" spans="1:19" x14ac:dyDescent="0.2">
      <c r="A9" s="26">
        <v>42342</v>
      </c>
      <c r="B9" s="27">
        <v>0.99458000000000002</v>
      </c>
      <c r="D9" s="3" t="s">
        <v>16</v>
      </c>
      <c r="E9" s="6" t="s">
        <v>17</v>
      </c>
      <c r="F9" s="13"/>
      <c r="H9" s="6" t="str">
        <f t="shared" si="8"/>
        <v>Fri</v>
      </c>
      <c r="I9" s="6">
        <f t="shared" si="5"/>
        <v>18</v>
      </c>
      <c r="J9" s="7">
        <f t="shared" si="0"/>
        <v>42342</v>
      </c>
      <c r="K9" s="7">
        <f t="shared" si="1"/>
        <v>42342</v>
      </c>
      <c r="L9" s="8">
        <f t="shared" si="6"/>
        <v>0.25277777777777777</v>
      </c>
      <c r="M9" s="8">
        <f>YearFraction(K7,K9,2)</f>
        <v>0.5083333333333333</v>
      </c>
      <c r="N9" s="9">
        <f t="shared" si="7"/>
        <v>6.3999625221442197E-3</v>
      </c>
      <c r="O9" s="10">
        <f t="shared" si="2"/>
        <v>16177.683042086777</v>
      </c>
      <c r="P9" s="10">
        <f>-$E$11*M9*$E$7</f>
        <v>-82976.991535928537</v>
      </c>
      <c r="Q9" s="10">
        <f t="shared" si="3"/>
        <v>-66799.30849384176</v>
      </c>
      <c r="R9" s="10">
        <f t="shared" si="4"/>
        <v>-66437.256241805138</v>
      </c>
    </row>
    <row r="10" spans="1:19" x14ac:dyDescent="0.2">
      <c r="A10" s="26">
        <v>42433</v>
      </c>
      <c r="B10" s="27">
        <v>0.99241900000000005</v>
      </c>
      <c r="D10" s="3" t="s">
        <v>19</v>
      </c>
      <c r="E10" s="14" t="s">
        <v>7</v>
      </c>
      <c r="F10" s="13"/>
      <c r="H10" s="6" t="str">
        <f t="shared" si="8"/>
        <v>Fri</v>
      </c>
      <c r="I10" s="6">
        <f t="shared" si="5"/>
        <v>21</v>
      </c>
      <c r="J10" s="7">
        <f t="shared" si="0"/>
        <v>42433</v>
      </c>
      <c r="K10" s="7">
        <f t="shared" si="1"/>
        <v>42433</v>
      </c>
      <c r="L10" s="8">
        <f>YearFraction(K9,K10,2)</f>
        <v>0.25277777777777777</v>
      </c>
      <c r="M10" s="8"/>
      <c r="N10" s="9">
        <f t="shared" si="7"/>
        <v>8.6143161195128375E-3</v>
      </c>
      <c r="O10" s="10">
        <f t="shared" si="2"/>
        <v>21775.076857657448</v>
      </c>
      <c r="P10" s="10"/>
      <c r="Q10" s="10">
        <f t="shared" si="3"/>
        <v>21775.076857657448</v>
      </c>
      <c r="R10" s="10">
        <f t="shared" si="4"/>
        <v>21609.999999999549</v>
      </c>
    </row>
    <row r="11" spans="1:19" x14ac:dyDescent="0.2">
      <c r="A11" s="26">
        <v>42527</v>
      </c>
      <c r="B11" s="27">
        <v>0.98954399999999998</v>
      </c>
      <c r="D11" s="3" t="s">
        <v>20</v>
      </c>
      <c r="E11" s="15">
        <v>1.6323342597231845E-2</v>
      </c>
      <c r="F11" s="13"/>
      <c r="H11" s="16" t="str">
        <f t="shared" si="8"/>
        <v>Sat</v>
      </c>
      <c r="I11" s="16">
        <f t="shared" si="5"/>
        <v>24</v>
      </c>
      <c r="J11" s="17">
        <f t="shared" si="0"/>
        <v>42525</v>
      </c>
      <c r="K11" s="7">
        <f>J11+2</f>
        <v>42527</v>
      </c>
      <c r="L11" s="8">
        <f>YearFraction(K10,K11,2)</f>
        <v>0.26111111111111113</v>
      </c>
      <c r="M11" s="8">
        <f>YearFraction(K9,K11,2)</f>
        <v>0.51388888888888884</v>
      </c>
      <c r="N11" s="9">
        <f t="shared" si="7"/>
        <v>1.1126982021893805E-2</v>
      </c>
      <c r="O11" s="10">
        <f t="shared" si="2"/>
        <v>29053.786390500492</v>
      </c>
      <c r="P11" s="10">
        <f>-$E$11*M11*$E$7</f>
        <v>-83883.843902441411</v>
      </c>
      <c r="Q11" s="10">
        <f t="shared" si="3"/>
        <v>-54830.057511940919</v>
      </c>
      <c r="R11" s="10">
        <f t="shared" si="4"/>
        <v>-54256.754430596062</v>
      </c>
    </row>
    <row r="12" spans="1:19" x14ac:dyDescent="0.2">
      <c r="A12" s="26">
        <v>42619</v>
      </c>
      <c r="B12" s="27">
        <v>0.98606199999999999</v>
      </c>
      <c r="D12" s="18" t="s">
        <v>21</v>
      </c>
      <c r="E12" s="14" t="s">
        <v>22</v>
      </c>
      <c r="F12" s="13"/>
      <c r="H12" s="16" t="str">
        <f t="shared" si="8"/>
        <v>Sun</v>
      </c>
      <c r="I12" s="16">
        <f t="shared" si="5"/>
        <v>27</v>
      </c>
      <c r="J12" s="17">
        <f t="shared" si="0"/>
        <v>42617</v>
      </c>
      <c r="K12" s="7">
        <f>J12+2</f>
        <v>42619</v>
      </c>
      <c r="L12" s="8">
        <f t="shared" si="6"/>
        <v>0.25555555555555554</v>
      </c>
      <c r="M12" s="8"/>
      <c r="N12" s="9">
        <f t="shared" si="7"/>
        <v>1.3817810027466772E-2</v>
      </c>
      <c r="O12" s="10">
        <f t="shared" si="2"/>
        <v>35312.181181303968</v>
      </c>
      <c r="P12" s="10"/>
      <c r="Q12" s="10">
        <f t="shared" si="3"/>
        <v>35312.181181303968</v>
      </c>
      <c r="R12" s="10">
        <f t="shared" si="4"/>
        <v>34819.999999998952</v>
      </c>
    </row>
    <row r="13" spans="1:19" x14ac:dyDescent="0.2">
      <c r="A13" s="26">
        <v>42709</v>
      </c>
      <c r="B13" s="27">
        <v>0.98204599999999997</v>
      </c>
      <c r="F13" s="13"/>
      <c r="H13" s="16" t="str">
        <f t="shared" si="8"/>
        <v>Sun</v>
      </c>
      <c r="I13" s="16">
        <f t="shared" si="5"/>
        <v>30</v>
      </c>
      <c r="J13" s="17">
        <f t="shared" si="0"/>
        <v>42708</v>
      </c>
      <c r="K13" s="7">
        <f>J13+1</f>
        <v>42709</v>
      </c>
      <c r="L13" s="8">
        <f t="shared" si="6"/>
        <v>0.25</v>
      </c>
      <c r="M13" s="8">
        <f>YearFraction(K11,K13,2)</f>
        <v>0.50555555555555554</v>
      </c>
      <c r="N13" s="9">
        <f t="shared" si="7"/>
        <v>1.6357685892514517E-2</v>
      </c>
      <c r="O13" s="10">
        <f t="shared" si="2"/>
        <v>40894.214731286294</v>
      </c>
      <c r="P13" s="10">
        <f>-$E$11*M13*$E$7</f>
        <v>-82523.5653526721</v>
      </c>
      <c r="Q13" s="10">
        <f t="shared" si="3"/>
        <v>-41629.350621385805</v>
      </c>
      <c r="R13" s="10">
        <f t="shared" si="4"/>
        <v>-40881.937260329447</v>
      </c>
    </row>
    <row r="14" spans="1:19" x14ac:dyDescent="0.2">
      <c r="A14" s="26">
        <v>42800</v>
      </c>
      <c r="B14" s="27">
        <v>0.97736900000000004</v>
      </c>
      <c r="D14" s="3" t="s">
        <v>23</v>
      </c>
      <c r="E14" s="6" t="s">
        <v>18</v>
      </c>
      <c r="F14" s="13"/>
      <c r="H14" s="16" t="str">
        <f t="shared" si="8"/>
        <v>Sat</v>
      </c>
      <c r="I14" s="16">
        <f t="shared" si="5"/>
        <v>33</v>
      </c>
      <c r="J14" s="17">
        <f t="shared" ref="J14:J23" si="9">DATE(YEAR($E$4),MONTH($E$4)+I14,DAY($E$4))</f>
        <v>42798</v>
      </c>
      <c r="K14" s="7">
        <f>J14+2</f>
        <v>42800</v>
      </c>
      <c r="L14" s="8">
        <f t="shared" si="6"/>
        <v>0.25277777777777777</v>
      </c>
      <c r="M14" s="8"/>
      <c r="N14" s="9">
        <f t="shared" si="7"/>
        <v>1.8930841455394355E-2</v>
      </c>
      <c r="O14" s="10">
        <f t="shared" si="2"/>
        <v>47852.960345580177</v>
      </c>
      <c r="P14" s="10"/>
      <c r="Q14" s="10">
        <f t="shared" si="3"/>
        <v>47852.960345580177</v>
      </c>
      <c r="R14" s="10">
        <f t="shared" si="4"/>
        <v>46769.999999999352</v>
      </c>
    </row>
    <row r="15" spans="1:19" x14ac:dyDescent="0.2">
      <c r="A15" s="26">
        <v>42891</v>
      </c>
      <c r="B15" s="27">
        <v>0.97219199999999995</v>
      </c>
      <c r="D15" s="3" t="s">
        <v>24</v>
      </c>
      <c r="E15" s="14" t="s">
        <v>6</v>
      </c>
      <c r="F15" s="13"/>
      <c r="H15" s="16" t="str">
        <f t="shared" si="8"/>
        <v>Sun</v>
      </c>
      <c r="I15" s="16">
        <f t="shared" si="5"/>
        <v>36</v>
      </c>
      <c r="J15" s="17">
        <f t="shared" ref="J15:J20" si="10">DATE(YEAR($E$4),MONTH($E$4)+I15,DAY($E$4))</f>
        <v>42890</v>
      </c>
      <c r="K15" s="7">
        <f>J15+1</f>
        <v>42891</v>
      </c>
      <c r="L15" s="8">
        <f t="shared" si="6"/>
        <v>0.25277777777777777</v>
      </c>
      <c r="M15" s="8">
        <f>YearFraction(K13,K15,2)</f>
        <v>0.50555555555555554</v>
      </c>
      <c r="N15" s="9">
        <f t="shared" si="7"/>
        <v>2.1066249835876225E-2</v>
      </c>
      <c r="O15" s="10">
        <f t="shared" si="2"/>
        <v>53250.798196242678</v>
      </c>
      <c r="P15" s="10">
        <f>-$E$11*M15*$E$7</f>
        <v>-82523.5653526721</v>
      </c>
      <c r="Q15" s="10">
        <f t="shared" si="3"/>
        <v>-29272.767156429421</v>
      </c>
      <c r="R15" s="10">
        <f t="shared" si="4"/>
        <v>-28458.75004734343</v>
      </c>
    </row>
    <row r="16" spans="1:19" x14ac:dyDescent="0.2">
      <c r="A16" s="26">
        <v>42983</v>
      </c>
      <c r="B16" s="27">
        <v>0.96668200000000004</v>
      </c>
      <c r="D16" s="18" t="s">
        <v>21</v>
      </c>
      <c r="E16" s="14" t="s">
        <v>1</v>
      </c>
      <c r="F16" s="13"/>
      <c r="H16" s="16" t="str">
        <f t="shared" si="8"/>
        <v>Mon</v>
      </c>
      <c r="I16" s="16">
        <f t="shared" si="5"/>
        <v>39</v>
      </c>
      <c r="J16" s="17">
        <f t="shared" si="10"/>
        <v>42982</v>
      </c>
      <c r="K16" s="7">
        <f>J16+1</f>
        <v>42983</v>
      </c>
      <c r="L16" s="8">
        <f t="shared" si="6"/>
        <v>0.25555555555555554</v>
      </c>
      <c r="M16" s="8"/>
      <c r="N16" s="9">
        <f t="shared" si="7"/>
        <v>2.2303994038594763E-2</v>
      </c>
      <c r="O16" s="10">
        <f t="shared" si="2"/>
        <v>56999.095876408835</v>
      </c>
      <c r="P16" s="10"/>
      <c r="Q16" s="10">
        <f t="shared" si="3"/>
        <v>56999.095876408835</v>
      </c>
      <c r="R16" s="10">
        <f t="shared" si="4"/>
        <v>55099.999999998647</v>
      </c>
    </row>
    <row r="17" spans="1:18" x14ac:dyDescent="0.2">
      <c r="A17" s="26">
        <v>43073</v>
      </c>
      <c r="B17" s="27">
        <v>0.96091499999999996</v>
      </c>
      <c r="D17" s="3" t="s">
        <v>25</v>
      </c>
      <c r="E17" s="14" t="s">
        <v>26</v>
      </c>
      <c r="F17" s="13"/>
      <c r="H17" s="6" t="str">
        <f t="shared" si="8"/>
        <v>Mon</v>
      </c>
      <c r="I17" s="6">
        <f t="shared" si="5"/>
        <v>42</v>
      </c>
      <c r="J17" s="7">
        <f t="shared" si="10"/>
        <v>43073</v>
      </c>
      <c r="K17" s="7">
        <f>J17</f>
        <v>43073</v>
      </c>
      <c r="L17" s="8">
        <f t="shared" si="6"/>
        <v>0.25</v>
      </c>
      <c r="M17" s="8">
        <f>YearFraction(K15,K17,2)</f>
        <v>0.50555555555555554</v>
      </c>
      <c r="N17" s="9">
        <f t="shared" si="7"/>
        <v>2.4006285675632455E-2</v>
      </c>
      <c r="O17" s="10">
        <f t="shared" si="2"/>
        <v>60015.71418908114</v>
      </c>
      <c r="P17" s="10">
        <f>-$E$11*M17*$E$7</f>
        <v>-82523.5653526721</v>
      </c>
      <c r="Q17" s="10">
        <f t="shared" si="3"/>
        <v>-22507.85116359096</v>
      </c>
      <c r="R17" s="10">
        <f t="shared" si="4"/>
        <v>-21628.131800862007</v>
      </c>
    </row>
    <row r="18" spans="1:18" x14ac:dyDescent="0.2">
      <c r="A18" s="26">
        <v>43164</v>
      </c>
      <c r="B18" s="27">
        <v>0.95468500000000001</v>
      </c>
      <c r="D18" s="3" t="s">
        <v>27</v>
      </c>
      <c r="E18" s="19">
        <v>2.2715000000000001E-3</v>
      </c>
      <c r="F18" s="13"/>
      <c r="H18" s="16" t="str">
        <f>TEXT(J18,"ddd")</f>
        <v>Sun</v>
      </c>
      <c r="I18" s="16">
        <f t="shared" si="5"/>
        <v>45</v>
      </c>
      <c r="J18" s="17">
        <f t="shared" si="10"/>
        <v>43163</v>
      </c>
      <c r="K18" s="7">
        <f>J18+1</f>
        <v>43164</v>
      </c>
      <c r="L18" s="8">
        <f t="shared" si="6"/>
        <v>0.25277777777777777</v>
      </c>
      <c r="M18" s="8"/>
      <c r="N18" s="9">
        <f t="shared" si="7"/>
        <v>2.5816006165544993E-2</v>
      </c>
      <c r="O18" s="10">
        <f t="shared" si="2"/>
        <v>65257.126696238731</v>
      </c>
      <c r="P18" s="10"/>
      <c r="Q18" s="10">
        <f t="shared" si="3"/>
        <v>65257.126696238731</v>
      </c>
      <c r="R18" s="10">
        <f t="shared" si="4"/>
        <v>62299.999999998676</v>
      </c>
    </row>
    <row r="19" spans="1:18" x14ac:dyDescent="0.2">
      <c r="A19" s="26">
        <v>43255</v>
      </c>
      <c r="B19" s="27">
        <v>0.94806900000000005</v>
      </c>
      <c r="H19" s="6" t="str">
        <f t="shared" si="8"/>
        <v>Mon</v>
      </c>
      <c r="I19" s="6">
        <f t="shared" si="5"/>
        <v>48</v>
      </c>
      <c r="J19" s="7">
        <f t="shared" si="10"/>
        <v>43255</v>
      </c>
      <c r="K19" s="7">
        <f>J19</f>
        <v>43255</v>
      </c>
      <c r="L19" s="8">
        <f t="shared" si="6"/>
        <v>0.25277777777777777</v>
      </c>
      <c r="M19" s="8">
        <f>YearFraction(K17,K19,2)</f>
        <v>0.50555555555555554</v>
      </c>
      <c r="N19" s="9">
        <f t="shared" si="7"/>
        <v>2.7606837490927592E-2</v>
      </c>
      <c r="O19" s="10">
        <f t="shared" si="2"/>
        <v>69783.950324289195</v>
      </c>
      <c r="P19" s="10">
        <f>-$E$11*M19*$E$7</f>
        <v>-82523.5653526721</v>
      </c>
      <c r="Q19" s="10">
        <f t="shared" si="3"/>
        <v>-12739.615028382905</v>
      </c>
      <c r="R19" s="10">
        <f t="shared" si="4"/>
        <v>-12078.034080343952</v>
      </c>
    </row>
    <row r="20" spans="1:18" x14ac:dyDescent="0.2">
      <c r="A20" s="26">
        <v>43347</v>
      </c>
      <c r="B20" s="27">
        <v>0.941415</v>
      </c>
      <c r="H20" s="6" t="str">
        <f t="shared" si="8"/>
        <v>Tue</v>
      </c>
      <c r="I20" s="6">
        <f t="shared" si="5"/>
        <v>51</v>
      </c>
      <c r="J20" s="7">
        <f t="shared" si="10"/>
        <v>43347</v>
      </c>
      <c r="K20" s="7">
        <f>J20</f>
        <v>43347</v>
      </c>
      <c r="L20" s="8">
        <f t="shared" si="6"/>
        <v>0.25555555555555554</v>
      </c>
      <c r="M20" s="8"/>
      <c r="N20" s="9">
        <f t="shared" si="7"/>
        <v>2.7657718757772495E-2</v>
      </c>
      <c r="O20" s="10">
        <f t="shared" si="2"/>
        <v>70680.836825418592</v>
      </c>
      <c r="P20" s="10"/>
      <c r="Q20" s="10">
        <f t="shared" si="3"/>
        <v>70680.836825418592</v>
      </c>
      <c r="R20" s="10">
        <f t="shared" si="4"/>
        <v>66540.000000001441</v>
      </c>
    </row>
    <row r="21" spans="1:18" x14ac:dyDescent="0.2">
      <c r="A21" s="26">
        <v>43438</v>
      </c>
      <c r="B21" s="27">
        <v>0.93451600000000001</v>
      </c>
      <c r="H21" s="6" t="str">
        <f t="shared" si="8"/>
        <v>Tue</v>
      </c>
      <c r="I21" s="6">
        <f t="shared" si="5"/>
        <v>54</v>
      </c>
      <c r="J21" s="7">
        <f t="shared" si="9"/>
        <v>43438</v>
      </c>
      <c r="K21" s="7">
        <f>J21</f>
        <v>43438</v>
      </c>
      <c r="L21" s="8">
        <f t="shared" si="6"/>
        <v>0.25277777777777777</v>
      </c>
      <c r="M21" s="8">
        <f>YearFraction(K19,K21,2)</f>
        <v>0.5083333333333333</v>
      </c>
      <c r="N21" s="9">
        <f t="shared" si="7"/>
        <v>2.9205222010909644E-2</v>
      </c>
      <c r="O21" s="10">
        <f t="shared" si="2"/>
        <v>73824.311194243812</v>
      </c>
      <c r="P21" s="10">
        <f>-$E$11*M21*$E$7</f>
        <v>-82976.991535928537</v>
      </c>
      <c r="Q21" s="10">
        <f t="shared" si="3"/>
        <v>-9152.6803416847251</v>
      </c>
      <c r="R21" s="10">
        <f t="shared" si="4"/>
        <v>-8553.3262221898422</v>
      </c>
    </row>
    <row r="22" spans="1:18" x14ac:dyDescent="0.2">
      <c r="A22" s="26">
        <v>43528</v>
      </c>
      <c r="B22" s="27">
        <v>0.92739899999999997</v>
      </c>
      <c r="H22" s="6" t="str">
        <f t="shared" si="8"/>
        <v>Mon</v>
      </c>
      <c r="I22" s="6">
        <f t="shared" si="5"/>
        <v>57</v>
      </c>
      <c r="J22" s="7">
        <f t="shared" si="9"/>
        <v>43528</v>
      </c>
      <c r="K22" s="7">
        <f>J22</f>
        <v>43528</v>
      </c>
      <c r="L22" s="8">
        <f t="shared" si="6"/>
        <v>0.25</v>
      </c>
      <c r="M22" s="8"/>
      <c r="N22" s="9">
        <f t="shared" si="7"/>
        <v>3.0696604158512386E-2</v>
      </c>
      <c r="O22" s="10">
        <f t="shared" si="2"/>
        <v>76741.510396280966</v>
      </c>
      <c r="P22" s="10"/>
      <c r="Q22" s="10">
        <f t="shared" si="3"/>
        <v>76741.510396280966</v>
      </c>
      <c r="R22" s="10">
        <f t="shared" si="4"/>
        <v>71170.000000000568</v>
      </c>
    </row>
    <row r="23" spans="1:18" x14ac:dyDescent="0.2">
      <c r="A23" s="26">
        <v>43620</v>
      </c>
      <c r="B23" s="27">
        <v>0.91983800000000004</v>
      </c>
      <c r="H23" s="6" t="str">
        <f t="shared" si="8"/>
        <v>Tue</v>
      </c>
      <c r="I23" s="6">
        <f t="shared" si="5"/>
        <v>60</v>
      </c>
      <c r="J23" s="7">
        <f t="shared" si="9"/>
        <v>43620</v>
      </c>
      <c r="K23" s="7">
        <f>J23</f>
        <v>43620</v>
      </c>
      <c r="L23" s="8">
        <f t="shared" si="6"/>
        <v>0.25555555555555554</v>
      </c>
      <c r="M23" s="8">
        <f>YearFraction(K21,K23,2)</f>
        <v>0.50555555555555554</v>
      </c>
      <c r="N23" s="9">
        <f t="shared" si="7"/>
        <v>3.2164926583952695E-2</v>
      </c>
      <c r="O23" s="10">
        <f>N23*L23*$E$7+$E$7</f>
        <v>10082199.256825658</v>
      </c>
      <c r="P23" s="10">
        <f>-$E$11*M23*$E$7-$E$7</f>
        <v>-10082523.565352673</v>
      </c>
      <c r="Q23" s="10">
        <f t="shared" si="3"/>
        <v>-324.30852701514959</v>
      </c>
      <c r="R23" s="10">
        <f t="shared" si="4"/>
        <v>-298.3113068725612</v>
      </c>
    </row>
    <row r="24" spans="1:18" x14ac:dyDescent="0.2">
      <c r="A24" s="18"/>
      <c r="B24" s="18"/>
      <c r="N24" s="20"/>
      <c r="P24" s="10"/>
    </row>
    <row r="25" spans="1:18" x14ac:dyDescent="0.2">
      <c r="H25" s="21" t="s">
        <v>28</v>
      </c>
      <c r="I25" s="22"/>
      <c r="J25" s="22"/>
      <c r="K25" s="22"/>
      <c r="L25" s="22"/>
      <c r="M25" s="22"/>
      <c r="N25" s="23"/>
      <c r="R25" s="24">
        <f>SUM(R4:R23)</f>
        <v>-6.7996097641298547E-10</v>
      </c>
    </row>
    <row r="26" spans="1:18" x14ac:dyDescent="0.2">
      <c r="H26" s="21" t="s">
        <v>29</v>
      </c>
      <c r="I26" s="22"/>
      <c r="J26" s="22"/>
      <c r="K26" s="22"/>
      <c r="L26" s="22"/>
      <c r="M26" s="22"/>
      <c r="N26" s="22"/>
    </row>
    <row r="33" spans="5:5" x14ac:dyDescent="0.2">
      <c r="E33" s="15"/>
    </row>
  </sheetData>
  <mergeCells count="2">
    <mergeCell ref="H1:R1"/>
    <mergeCell ref="D2:F2"/>
  </mergeCells>
  <printOptions headings="1" gridLines="1"/>
  <pageMargins left="0.7" right="0.7" top="0.75" bottom="0.75" header="0.3" footer="0.3"/>
  <pageSetup scale="6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IR Swap</vt:lpstr>
      <vt:lpstr>'IR Swap'!Print_Area</vt:lpstr>
    </vt:vector>
  </TitlesOfParts>
  <Company>Phoenix Life Insurance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Phoenix</dc:creator>
  <cp:lastModifiedBy>UITS</cp:lastModifiedBy>
  <cp:lastPrinted>2020-01-23T18:50:42Z</cp:lastPrinted>
  <dcterms:created xsi:type="dcterms:W3CDTF">2015-01-22T22:18:50Z</dcterms:created>
  <dcterms:modified xsi:type="dcterms:W3CDTF">2020-02-06T14:06:17Z</dcterms:modified>
</cp:coreProperties>
</file>