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D:\UConn PhD\Goldenson Center\NCMR\"/>
    </mc:Choice>
  </mc:AlternateContent>
  <xr:revisionPtr revIDLastSave="0" documentId="13_ncr:1_{6404510F-DDA3-48A1-BCEE-072F3F646068}" xr6:coauthVersionLast="45" xr6:coauthVersionMax="45" xr10:uidLastSave="{00000000-0000-0000-0000-000000000000}"/>
  <bookViews>
    <workbookView xWindow="-98" yWindow="-98" windowWidth="28996" windowHeight="15945" xr2:uid="{00000000-000D-0000-FFFF-FFFF00000000}"/>
  </bookViews>
  <sheets>
    <sheet name="Sheet1" sheetId="1" r:id="rId1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4" i="1" l="1"/>
  <c r="P4" i="1"/>
  <c r="Q4" i="1"/>
  <c r="R4" i="1"/>
  <c r="S4" i="1"/>
  <c r="T4" i="1"/>
  <c r="U4" i="1"/>
  <c r="V4" i="1"/>
  <c r="W4" i="1"/>
  <c r="X4" i="1"/>
  <c r="O5" i="1"/>
  <c r="P5" i="1"/>
  <c r="Q5" i="1"/>
  <c r="R5" i="1"/>
  <c r="S5" i="1"/>
  <c r="T5" i="1"/>
  <c r="U5" i="1"/>
  <c r="V5" i="1"/>
  <c r="W5" i="1"/>
  <c r="X5" i="1"/>
  <c r="O6" i="1"/>
  <c r="P6" i="1"/>
  <c r="Q6" i="1"/>
  <c r="R6" i="1"/>
  <c r="S6" i="1"/>
  <c r="T6" i="1"/>
  <c r="U6" i="1"/>
  <c r="V6" i="1"/>
  <c r="W6" i="1"/>
  <c r="X6" i="1"/>
  <c r="O7" i="1"/>
  <c r="P7" i="1"/>
  <c r="Q7" i="1"/>
  <c r="R7" i="1"/>
  <c r="S7" i="1"/>
  <c r="T7" i="1"/>
  <c r="U7" i="1"/>
  <c r="V7" i="1"/>
  <c r="W7" i="1"/>
  <c r="X7" i="1"/>
  <c r="O8" i="1"/>
  <c r="P8" i="1"/>
  <c r="Q8" i="1"/>
  <c r="R8" i="1"/>
  <c r="S8" i="1"/>
  <c r="T8" i="1"/>
  <c r="U8" i="1"/>
  <c r="V8" i="1"/>
  <c r="W8" i="1"/>
  <c r="X8" i="1"/>
  <c r="O9" i="1"/>
  <c r="P9" i="1"/>
  <c r="Q9" i="1"/>
  <c r="R9" i="1"/>
  <c r="S9" i="1"/>
  <c r="T9" i="1"/>
  <c r="U9" i="1"/>
  <c r="V9" i="1"/>
  <c r="W9" i="1"/>
  <c r="X9" i="1"/>
  <c r="O10" i="1"/>
  <c r="P10" i="1"/>
  <c r="Q10" i="1"/>
  <c r="R10" i="1"/>
  <c r="S10" i="1"/>
  <c r="T10" i="1"/>
  <c r="U10" i="1"/>
  <c r="V10" i="1"/>
  <c r="W10" i="1"/>
  <c r="X10" i="1"/>
  <c r="O11" i="1"/>
  <c r="P11" i="1"/>
  <c r="Q11" i="1"/>
  <c r="R11" i="1"/>
  <c r="S11" i="1"/>
  <c r="T11" i="1"/>
  <c r="U11" i="1"/>
  <c r="V11" i="1"/>
  <c r="W11" i="1"/>
  <c r="X11" i="1"/>
  <c r="O12" i="1"/>
  <c r="P12" i="1"/>
  <c r="Q12" i="1"/>
  <c r="R12" i="1"/>
  <c r="S12" i="1"/>
  <c r="T12" i="1"/>
  <c r="U12" i="1"/>
  <c r="V12" i="1"/>
  <c r="W12" i="1"/>
  <c r="X12" i="1"/>
  <c r="O13" i="1"/>
  <c r="P13" i="1"/>
  <c r="Q13" i="1"/>
  <c r="R13" i="1"/>
  <c r="S13" i="1"/>
  <c r="T13" i="1"/>
  <c r="U13" i="1"/>
  <c r="V13" i="1"/>
  <c r="W13" i="1"/>
  <c r="X13" i="1"/>
  <c r="O14" i="1"/>
  <c r="P14" i="1"/>
  <c r="Q14" i="1"/>
  <c r="R14" i="1"/>
  <c r="S14" i="1"/>
  <c r="T14" i="1"/>
  <c r="U14" i="1"/>
  <c r="V14" i="1"/>
  <c r="W14" i="1"/>
  <c r="X14" i="1"/>
  <c r="O15" i="1"/>
  <c r="P15" i="1"/>
  <c r="Q15" i="1"/>
  <c r="R15" i="1"/>
  <c r="S15" i="1"/>
  <c r="T15" i="1"/>
  <c r="U15" i="1"/>
  <c r="V15" i="1"/>
  <c r="W15" i="1"/>
  <c r="X15" i="1"/>
  <c r="O16" i="1"/>
  <c r="P16" i="1"/>
  <c r="Q16" i="1"/>
  <c r="R16" i="1"/>
  <c r="S16" i="1"/>
  <c r="T16" i="1"/>
  <c r="U16" i="1"/>
  <c r="V16" i="1"/>
  <c r="W16" i="1"/>
  <c r="X16" i="1"/>
  <c r="O17" i="1"/>
  <c r="P17" i="1"/>
  <c r="Q17" i="1"/>
  <c r="R17" i="1"/>
  <c r="S17" i="1"/>
  <c r="T17" i="1"/>
  <c r="U17" i="1"/>
  <c r="V17" i="1"/>
  <c r="W17" i="1"/>
  <c r="X17" i="1"/>
  <c r="O18" i="1"/>
  <c r="P18" i="1"/>
  <c r="Q18" i="1"/>
  <c r="R18" i="1"/>
  <c r="S18" i="1"/>
  <c r="T18" i="1"/>
  <c r="U18" i="1"/>
  <c r="V18" i="1"/>
  <c r="W18" i="1"/>
  <c r="X18" i="1"/>
  <c r="O19" i="1"/>
  <c r="P19" i="1"/>
  <c r="Q19" i="1"/>
  <c r="R19" i="1"/>
  <c r="S19" i="1"/>
  <c r="T19" i="1"/>
  <c r="U19" i="1"/>
  <c r="V19" i="1"/>
  <c r="W19" i="1"/>
  <c r="X19" i="1"/>
  <c r="O20" i="1"/>
  <c r="P20" i="1"/>
  <c r="Q20" i="1"/>
  <c r="R20" i="1"/>
  <c r="S20" i="1"/>
  <c r="T20" i="1"/>
  <c r="U20" i="1"/>
  <c r="V20" i="1"/>
  <c r="W20" i="1"/>
  <c r="X20" i="1"/>
  <c r="O21" i="1"/>
  <c r="P21" i="1"/>
  <c r="Q21" i="1"/>
  <c r="R21" i="1"/>
  <c r="S21" i="1"/>
  <c r="T21" i="1"/>
  <c r="U21" i="1"/>
  <c r="V21" i="1"/>
  <c r="W21" i="1"/>
  <c r="X21" i="1"/>
  <c r="O22" i="1"/>
  <c r="P22" i="1"/>
  <c r="Q22" i="1"/>
  <c r="R22" i="1"/>
  <c r="S22" i="1"/>
  <c r="T22" i="1"/>
  <c r="U22" i="1"/>
  <c r="V22" i="1"/>
  <c r="W22" i="1"/>
  <c r="X22" i="1"/>
  <c r="O23" i="1"/>
  <c r="P23" i="1"/>
  <c r="Q23" i="1"/>
  <c r="R23" i="1"/>
  <c r="S23" i="1"/>
  <c r="T23" i="1"/>
  <c r="U23" i="1"/>
  <c r="V23" i="1"/>
  <c r="W23" i="1"/>
  <c r="X23" i="1"/>
  <c r="O24" i="1"/>
  <c r="P24" i="1"/>
  <c r="Q24" i="1"/>
  <c r="R24" i="1"/>
  <c r="S24" i="1"/>
  <c r="T24" i="1"/>
  <c r="U24" i="1"/>
  <c r="V24" i="1"/>
  <c r="W24" i="1"/>
  <c r="X24" i="1"/>
  <c r="O25" i="1"/>
  <c r="P25" i="1"/>
  <c r="Q25" i="1"/>
  <c r="R25" i="1"/>
  <c r="S25" i="1"/>
  <c r="T25" i="1"/>
  <c r="U25" i="1"/>
  <c r="V25" i="1"/>
  <c r="W25" i="1"/>
  <c r="X25" i="1"/>
  <c r="O26" i="1"/>
  <c r="P26" i="1"/>
  <c r="Q26" i="1"/>
  <c r="R26" i="1"/>
  <c r="S26" i="1"/>
  <c r="T26" i="1"/>
  <c r="U26" i="1"/>
  <c r="V26" i="1"/>
  <c r="W26" i="1"/>
  <c r="X26" i="1"/>
  <c r="O27" i="1"/>
  <c r="P27" i="1"/>
  <c r="Q27" i="1"/>
  <c r="R27" i="1"/>
  <c r="S27" i="1"/>
  <c r="T27" i="1"/>
  <c r="U27" i="1"/>
  <c r="V27" i="1"/>
  <c r="W27" i="1"/>
  <c r="X27" i="1"/>
  <c r="O28" i="1"/>
  <c r="P28" i="1"/>
  <c r="Q28" i="1"/>
  <c r="R28" i="1"/>
  <c r="S28" i="1"/>
  <c r="T28" i="1"/>
  <c r="U28" i="1"/>
  <c r="V28" i="1"/>
  <c r="W28" i="1"/>
  <c r="X28" i="1"/>
  <c r="O29" i="1"/>
  <c r="P29" i="1"/>
  <c r="Q29" i="1"/>
  <c r="R29" i="1"/>
  <c r="S29" i="1"/>
  <c r="T29" i="1"/>
  <c r="U29" i="1"/>
  <c r="V29" i="1"/>
  <c r="W29" i="1"/>
  <c r="X29" i="1"/>
  <c r="O30" i="1"/>
  <c r="P30" i="1"/>
  <c r="Q30" i="1"/>
  <c r="R30" i="1"/>
  <c r="S30" i="1"/>
  <c r="T30" i="1"/>
  <c r="U30" i="1"/>
  <c r="V30" i="1"/>
  <c r="W30" i="1"/>
  <c r="X30" i="1"/>
  <c r="O31" i="1"/>
  <c r="P31" i="1"/>
  <c r="Q31" i="1"/>
  <c r="R31" i="1"/>
  <c r="S31" i="1"/>
  <c r="T31" i="1"/>
  <c r="U31" i="1"/>
  <c r="V31" i="1"/>
  <c r="W31" i="1"/>
  <c r="X31" i="1"/>
  <c r="O32" i="1"/>
  <c r="P32" i="1"/>
  <c r="Q32" i="1"/>
  <c r="R32" i="1"/>
  <c r="S32" i="1"/>
  <c r="T32" i="1"/>
  <c r="U32" i="1"/>
  <c r="V32" i="1"/>
  <c r="W32" i="1"/>
  <c r="X32" i="1"/>
  <c r="P3" i="1"/>
  <c r="Q3" i="1"/>
  <c r="R3" i="1"/>
  <c r="S3" i="1"/>
  <c r="T3" i="1"/>
  <c r="U3" i="1"/>
  <c r="V3" i="1"/>
  <c r="W3" i="1"/>
  <c r="X3" i="1"/>
  <c r="O3" i="1"/>
  <c r="B23" i="1" a="1"/>
  <c r="D23" i="1" l="1"/>
  <c r="B24" i="1"/>
  <c r="J24" i="1"/>
  <c r="H25" i="1"/>
  <c r="F26" i="1"/>
  <c r="D27" i="1"/>
  <c r="B28" i="1"/>
  <c r="J28" i="1"/>
  <c r="H29" i="1"/>
  <c r="F30" i="1"/>
  <c r="D31" i="1"/>
  <c r="B32" i="1"/>
  <c r="J32" i="1"/>
  <c r="C25" i="1"/>
  <c r="K25" i="1"/>
  <c r="E28" i="1"/>
  <c r="I30" i="1"/>
  <c r="I23" i="1"/>
  <c r="C26" i="1"/>
  <c r="G28" i="1"/>
  <c r="C30" i="1"/>
  <c r="G32" i="1"/>
  <c r="H24" i="1"/>
  <c r="F25" i="1"/>
  <c r="J27" i="1"/>
  <c r="F29" i="1"/>
  <c r="J31" i="1"/>
  <c r="K23" i="1"/>
  <c r="G25" i="1"/>
  <c r="K27" i="1"/>
  <c r="E30" i="1"/>
  <c r="I32" i="1"/>
  <c r="E23" i="1"/>
  <c r="C24" i="1"/>
  <c r="K24" i="1"/>
  <c r="I25" i="1"/>
  <c r="G26" i="1"/>
  <c r="E27" i="1"/>
  <c r="C28" i="1"/>
  <c r="K28" i="1"/>
  <c r="I29" i="1"/>
  <c r="G30" i="1"/>
  <c r="E31" i="1"/>
  <c r="C32" i="1"/>
  <c r="K32" i="1"/>
  <c r="E24" i="1"/>
  <c r="G27" i="1"/>
  <c r="K29" i="1"/>
  <c r="E32" i="1"/>
  <c r="E25" i="1"/>
  <c r="I27" i="1"/>
  <c r="K30" i="1"/>
  <c r="J23" i="1"/>
  <c r="B27" i="1"/>
  <c r="H28" i="1"/>
  <c r="B31" i="1"/>
  <c r="C23" i="1"/>
  <c r="C27" i="1"/>
  <c r="G29" i="1"/>
  <c r="K31" i="1"/>
  <c r="F23" i="1"/>
  <c r="D24" i="1"/>
  <c r="B25" i="1"/>
  <c r="J25" i="1"/>
  <c r="H26" i="1"/>
  <c r="F27" i="1"/>
  <c r="D28" i="1"/>
  <c r="B29" i="1"/>
  <c r="J29" i="1"/>
  <c r="H30" i="1"/>
  <c r="F31" i="1"/>
  <c r="D32" i="1"/>
  <c r="G23" i="1"/>
  <c r="I26" i="1"/>
  <c r="C29" i="1"/>
  <c r="G31" i="1"/>
  <c r="G24" i="1"/>
  <c r="K26" i="1"/>
  <c r="E29" i="1"/>
  <c r="I31" i="1"/>
  <c r="B23" i="1"/>
  <c r="D26" i="1"/>
  <c r="D30" i="1"/>
  <c r="H32" i="1"/>
  <c r="I24" i="1"/>
  <c r="E26" i="1"/>
  <c r="I28" i="1"/>
  <c r="C31" i="1"/>
  <c r="H23" i="1"/>
  <c r="F24" i="1"/>
  <c r="D25" i="1"/>
  <c r="B26" i="1"/>
  <c r="J26" i="1"/>
  <c r="H27" i="1"/>
  <c r="F28" i="1"/>
  <c r="D29" i="1"/>
  <c r="B30" i="1"/>
  <c r="J30" i="1"/>
  <c r="H31" i="1"/>
  <c r="F32" i="1"/>
  <c r="Z3" i="1" l="1" a="1"/>
  <c r="Z3" i="1" l="1"/>
  <c r="AH3" i="1"/>
  <c r="AF4" i="1"/>
  <c r="AD5" i="1"/>
  <c r="AB6" i="1"/>
  <c r="Z7" i="1"/>
  <c r="AH7" i="1"/>
  <c r="AF8" i="1"/>
  <c r="AD9" i="1"/>
  <c r="AB10" i="1"/>
  <c r="Z11" i="1"/>
  <c r="AH11" i="1"/>
  <c r="AF12" i="1"/>
  <c r="AD13" i="1"/>
  <c r="AB14" i="1"/>
  <c r="Z15" i="1"/>
  <c r="AH15" i="1"/>
  <c r="AF16" i="1"/>
  <c r="AD17" i="1"/>
  <c r="AB18" i="1"/>
  <c r="Z19" i="1"/>
  <c r="AH19" i="1"/>
  <c r="AF20" i="1"/>
  <c r="AD21" i="1"/>
  <c r="AB22" i="1"/>
  <c r="Z23" i="1"/>
  <c r="AH23" i="1"/>
  <c r="AF24" i="1"/>
  <c r="AD25" i="1"/>
  <c r="AB26" i="1"/>
  <c r="Z27" i="1"/>
  <c r="AH27" i="1"/>
  <c r="AF28" i="1"/>
  <c r="AD29" i="1"/>
  <c r="AB30" i="1"/>
  <c r="Z31" i="1"/>
  <c r="AH31" i="1"/>
  <c r="AF32" i="1"/>
  <c r="AC13" i="1"/>
  <c r="AA3" i="1"/>
  <c r="AI3" i="1"/>
  <c r="AG4" i="1"/>
  <c r="AE5" i="1"/>
  <c r="AC6" i="1"/>
  <c r="AA7" i="1"/>
  <c r="AI7" i="1"/>
  <c r="AG8" i="1"/>
  <c r="AE9" i="1"/>
  <c r="AC10" i="1"/>
  <c r="AA11" i="1"/>
  <c r="AI11" i="1"/>
  <c r="AG12" i="1"/>
  <c r="AE13" i="1"/>
  <c r="AC14" i="1"/>
  <c r="AA15" i="1"/>
  <c r="AI15" i="1"/>
  <c r="AG16" i="1"/>
  <c r="AE17" i="1"/>
  <c r="AC18" i="1"/>
  <c r="AA19" i="1"/>
  <c r="AI19" i="1"/>
  <c r="AG20" i="1"/>
  <c r="AE21" i="1"/>
  <c r="AC22" i="1"/>
  <c r="AA23" i="1"/>
  <c r="AI23" i="1"/>
  <c r="AG24" i="1"/>
  <c r="AE25" i="1"/>
  <c r="AC26" i="1"/>
  <c r="AA27" i="1"/>
  <c r="AI27" i="1"/>
  <c r="AG28" i="1"/>
  <c r="AE29" i="1"/>
  <c r="AC30" i="1"/>
  <c r="AA31" i="1"/>
  <c r="AI31" i="1"/>
  <c r="AG32" i="1"/>
  <c r="AI10" i="1"/>
  <c r="AI30" i="1"/>
  <c r="AB3" i="1"/>
  <c r="Z4" i="1"/>
  <c r="AH4" i="1"/>
  <c r="AF5" i="1"/>
  <c r="AD6" i="1"/>
  <c r="AB7" i="1"/>
  <c r="Z8" i="1"/>
  <c r="AH8" i="1"/>
  <c r="AF9" i="1"/>
  <c r="AD10" i="1"/>
  <c r="AB11" i="1"/>
  <c r="Z12" i="1"/>
  <c r="AH12" i="1"/>
  <c r="AF13" i="1"/>
  <c r="AD14" i="1"/>
  <c r="AB15" i="1"/>
  <c r="Z16" i="1"/>
  <c r="AH16" i="1"/>
  <c r="AF17" i="1"/>
  <c r="AD18" i="1"/>
  <c r="AB19" i="1"/>
  <c r="Z20" i="1"/>
  <c r="AH20" i="1"/>
  <c r="AF21" i="1"/>
  <c r="AD22" i="1"/>
  <c r="AB23" i="1"/>
  <c r="Z24" i="1"/>
  <c r="AH24" i="1"/>
  <c r="AF25" i="1"/>
  <c r="AD26" i="1"/>
  <c r="AB27" i="1"/>
  <c r="Z28" i="1"/>
  <c r="AH28" i="1"/>
  <c r="AF29" i="1"/>
  <c r="AD30" i="1"/>
  <c r="AB31" i="1"/>
  <c r="Z32" i="1"/>
  <c r="AH32" i="1"/>
  <c r="AG3" i="1"/>
  <c r="AC21" i="1"/>
  <c r="AA26" i="1"/>
  <c r="AE28" i="1"/>
  <c r="AG31" i="1"/>
  <c r="AC3" i="1"/>
  <c r="AA4" i="1"/>
  <c r="AI4" i="1"/>
  <c r="AG5" i="1"/>
  <c r="AE6" i="1"/>
  <c r="AC7" i="1"/>
  <c r="AA8" i="1"/>
  <c r="AI8" i="1"/>
  <c r="AG9" i="1"/>
  <c r="AE10" i="1"/>
  <c r="AC11" i="1"/>
  <c r="AA12" i="1"/>
  <c r="AI12" i="1"/>
  <c r="AG13" i="1"/>
  <c r="AE14" i="1"/>
  <c r="AC15" i="1"/>
  <c r="AA16" i="1"/>
  <c r="AI16" i="1"/>
  <c r="AG17" i="1"/>
  <c r="AE18" i="1"/>
  <c r="AC19" i="1"/>
  <c r="AA20" i="1"/>
  <c r="AI20" i="1"/>
  <c r="AG21" i="1"/>
  <c r="AE22" i="1"/>
  <c r="AC23" i="1"/>
  <c r="AA24" i="1"/>
  <c r="AI24" i="1"/>
  <c r="AG25" i="1"/>
  <c r="AE26" i="1"/>
  <c r="AC27" i="1"/>
  <c r="AA28" i="1"/>
  <c r="AI28" i="1"/>
  <c r="AG29" i="1"/>
  <c r="AE30" i="1"/>
  <c r="AC31" i="1"/>
  <c r="AA32" i="1"/>
  <c r="AI32" i="1"/>
  <c r="AC5" i="1"/>
  <c r="AD3" i="1"/>
  <c r="AB4" i="1"/>
  <c r="Z5" i="1"/>
  <c r="AH5" i="1"/>
  <c r="AF6" i="1"/>
  <c r="AD7" i="1"/>
  <c r="AB8" i="1"/>
  <c r="Z9" i="1"/>
  <c r="AH9" i="1"/>
  <c r="AF10" i="1"/>
  <c r="AD11" i="1"/>
  <c r="AB12" i="1"/>
  <c r="Z13" i="1"/>
  <c r="AH13" i="1"/>
  <c r="AF14" i="1"/>
  <c r="AD15" i="1"/>
  <c r="AB16" i="1"/>
  <c r="Z17" i="1"/>
  <c r="AH17" i="1"/>
  <c r="AF18" i="1"/>
  <c r="AD19" i="1"/>
  <c r="AB20" i="1"/>
  <c r="Z21" i="1"/>
  <c r="AH21" i="1"/>
  <c r="AF22" i="1"/>
  <c r="AD23" i="1"/>
  <c r="AB24" i="1"/>
  <c r="Z25" i="1"/>
  <c r="AH25" i="1"/>
  <c r="AF26" i="1"/>
  <c r="AD27" i="1"/>
  <c r="AB28" i="1"/>
  <c r="Z29" i="1"/>
  <c r="AH29" i="1"/>
  <c r="AF30" i="1"/>
  <c r="AD31" i="1"/>
  <c r="AB32" i="1"/>
  <c r="AE4" i="1"/>
  <c r="AI6" i="1"/>
  <c r="AG7" i="1"/>
  <c r="AE8" i="1"/>
  <c r="AC9" i="1"/>
  <c r="AA10" i="1"/>
  <c r="AG11" i="1"/>
  <c r="AE12" i="1"/>
  <c r="AA14" i="1"/>
  <c r="AI14" i="1"/>
  <c r="AG15" i="1"/>
  <c r="AE16" i="1"/>
  <c r="AC17" i="1"/>
  <c r="AA18" i="1"/>
  <c r="AI18" i="1"/>
  <c r="AG19" i="1"/>
  <c r="AE20" i="1"/>
  <c r="AA22" i="1"/>
  <c r="AI22" i="1"/>
  <c r="AG23" i="1"/>
  <c r="AE24" i="1"/>
  <c r="AC25" i="1"/>
  <c r="AI26" i="1"/>
  <c r="AG27" i="1"/>
  <c r="AC29" i="1"/>
  <c r="AA30" i="1"/>
  <c r="AE32" i="1"/>
  <c r="AE3" i="1"/>
  <c r="AC4" i="1"/>
  <c r="AA5" i="1"/>
  <c r="AI5" i="1"/>
  <c r="AG6" i="1"/>
  <c r="AE7" i="1"/>
  <c r="AC8" i="1"/>
  <c r="AA9" i="1"/>
  <c r="AI9" i="1"/>
  <c r="AG10" i="1"/>
  <c r="AE11" i="1"/>
  <c r="AC12" i="1"/>
  <c r="AA13" i="1"/>
  <c r="AI13" i="1"/>
  <c r="AG14" i="1"/>
  <c r="AE15" i="1"/>
  <c r="AC16" i="1"/>
  <c r="AA17" i="1"/>
  <c r="AI17" i="1"/>
  <c r="AG18" i="1"/>
  <c r="AE19" i="1"/>
  <c r="AC20" i="1"/>
  <c r="AA21" i="1"/>
  <c r="AI21" i="1"/>
  <c r="AG22" i="1"/>
  <c r="AE23" i="1"/>
  <c r="AC24" i="1"/>
  <c r="AA25" i="1"/>
  <c r="AI25" i="1"/>
  <c r="AG26" i="1"/>
  <c r="AE27" i="1"/>
  <c r="AC28" i="1"/>
  <c r="AA29" i="1"/>
  <c r="AI29" i="1"/>
  <c r="AG30" i="1"/>
  <c r="AE31" i="1"/>
  <c r="AC32" i="1"/>
  <c r="AA6" i="1"/>
  <c r="AF3" i="1"/>
  <c r="AD4" i="1"/>
  <c r="AB5" i="1"/>
  <c r="Z6" i="1"/>
  <c r="AH6" i="1"/>
  <c r="AF7" i="1"/>
  <c r="AD8" i="1"/>
  <c r="AB9" i="1"/>
  <c r="Z10" i="1"/>
  <c r="AH10" i="1"/>
  <c r="AF11" i="1"/>
  <c r="AD12" i="1"/>
  <c r="AB13" i="1"/>
  <c r="Z14" i="1"/>
  <c r="AH14" i="1"/>
  <c r="AF15" i="1"/>
  <c r="AD16" i="1"/>
  <c r="AB17" i="1"/>
  <c r="Z18" i="1"/>
  <c r="AH18" i="1"/>
  <c r="AF19" i="1"/>
  <c r="AD20" i="1"/>
  <c r="AB21" i="1"/>
  <c r="Z22" i="1"/>
  <c r="AH22" i="1"/>
  <c r="AF23" i="1"/>
  <c r="AD24" i="1"/>
  <c r="AB25" i="1"/>
  <c r="Z26" i="1"/>
  <c r="AH26" i="1"/>
  <c r="AF27" i="1"/>
  <c r="AD28" i="1"/>
  <c r="AB29" i="1"/>
  <c r="Z30" i="1"/>
  <c r="AH30" i="1"/>
  <c r="AF31" i="1"/>
  <c r="AD32" i="1"/>
</calcChain>
</file>

<file path=xl/sharedStrings.xml><?xml version="1.0" encoding="utf-8"?>
<sst xmlns="http://schemas.openxmlformats.org/spreadsheetml/2006/main" count="77" uniqueCount="16">
  <si>
    <t>Covariance (10 yrs)</t>
  </si>
  <si>
    <t>FI-MUNI</t>
  </si>
  <si>
    <t>FI-INVGRD</t>
  </si>
  <si>
    <t>USEQ-SM</t>
  </si>
  <si>
    <t>USEQ-SMVAL</t>
  </si>
  <si>
    <t>REIT</t>
  </si>
  <si>
    <t>USEQ-LG</t>
  </si>
  <si>
    <t>USEQ-MID</t>
  </si>
  <si>
    <t>USEQ-LGVAL</t>
  </si>
  <si>
    <t>USEQ-LGGRTH</t>
  </si>
  <si>
    <t>NUSEQ</t>
  </si>
  <si>
    <t>Cholesky Decomposition</t>
  </si>
  <si>
    <t>Standard Normal Random Numbers</t>
  </si>
  <si>
    <t>Year</t>
  </si>
  <si>
    <t>Mean (10 yrs)</t>
  </si>
  <si>
    <t>Std Dev (10 yrs)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</si>
</sst>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249977111117893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4" borderId="0" applyNumberFormat="0" applyBorder="0" applyAlignment="0" applyProtection="0"/>
    <xf numFmtId="0" fontId="16" fillId="12" borderId="0" applyNumberFormat="0" applyBorder="0" applyAlignment="0" applyProtection="0"/>
    <xf numFmtId="0" fontId="16" fillId="16" borderId="0" applyNumberFormat="0" applyBorder="0" applyAlignment="0" applyProtection="0"/>
    <xf numFmtId="0" fontId="16" fillId="20" borderId="0" applyNumberFormat="0" applyBorder="0" applyAlignment="0" applyProtection="0"/>
    <xf numFmtId="0" fontId="16" fillId="24" borderId="0" applyNumberFormat="0" applyBorder="0" applyAlignment="0" applyProtection="0"/>
    <xf numFmtId="0" fontId="16" fillId="28" borderId="0" applyNumberFormat="0" applyBorder="0" applyAlignment="0" applyProtection="0"/>
    <xf numFmtId="0" fontId="16" fillId="32" borderId="0" applyNumberFormat="0" applyBorder="0" applyAlignment="0" applyProtection="0"/>
  </cellStyleXfs>
  <cellXfs count="37">
    <xf numFmtId="0" fontId="0" fillId="0" borderId="0" xfId="0"/>
    <xf numFmtId="0" fontId="12" fillId="34" borderId="18" xfId="0" applyFont="1" applyFill="1" applyBorder="1" applyAlignment="1">
      <alignment horizontal="center" wrapText="1"/>
    </xf>
    <xf numFmtId="0" fontId="12" fillId="34" borderId="16" xfId="0" applyFont="1" applyFill="1" applyBorder="1" applyAlignment="1">
      <alignment horizontal="center" wrapText="1"/>
    </xf>
    <xf numFmtId="0" fontId="12" fillId="34" borderId="17" xfId="0" applyFont="1" applyFill="1" applyBorder="1" applyAlignment="1">
      <alignment horizontal="center" wrapText="1"/>
    </xf>
    <xf numFmtId="0" fontId="0" fillId="0" borderId="10" xfId="0" applyBorder="1"/>
    <xf numFmtId="0" fontId="0" fillId="0" borderId="12" xfId="0" applyBorder="1"/>
    <xf numFmtId="0" fontId="0" fillId="0" borderId="14" xfId="0" applyBorder="1"/>
    <xf numFmtId="0" fontId="0" fillId="0" borderId="15" xfId="0" applyBorder="1"/>
    <xf numFmtId="9" fontId="15" fillId="33" borderId="10" xfId="1" applyFont="1" applyFill="1" applyBorder="1" applyAlignment="1">
      <alignment horizontal="center" vertical="center"/>
    </xf>
    <xf numFmtId="9" fontId="15" fillId="33" borderId="11" xfId="1" applyFont="1" applyFill="1" applyBorder="1" applyAlignment="1">
      <alignment horizontal="center" vertical="center"/>
    </xf>
    <xf numFmtId="9" fontId="15" fillId="33" borderId="12" xfId="1" applyFont="1" applyFill="1" applyBorder="1" applyAlignment="1">
      <alignment horizontal="center" vertical="center"/>
    </xf>
    <xf numFmtId="9" fontId="15" fillId="33" borderId="0" xfId="1" applyFont="1" applyFill="1" applyBorder="1" applyAlignment="1">
      <alignment horizontal="center" vertical="center"/>
    </xf>
    <xf numFmtId="9" fontId="15" fillId="33" borderId="13" xfId="1" applyFont="1" applyFill="1" applyBorder="1" applyAlignment="1">
      <alignment horizontal="center" vertical="center"/>
    </xf>
    <xf numFmtId="0" fontId="0" fillId="33" borderId="11" xfId="0" applyFill="1" applyBorder="1"/>
    <xf numFmtId="0" fontId="0" fillId="0" borderId="0" xfId="0" applyBorder="1"/>
    <xf numFmtId="10" fontId="0" fillId="0" borderId="17" xfId="0" applyNumberFormat="1" applyBorder="1" applyAlignment="1">
      <alignment horizontal="center"/>
    </xf>
    <xf numFmtId="10" fontId="0" fillId="0" borderId="18" xfId="0" applyNumberFormat="1" applyBorder="1" applyAlignment="1">
      <alignment horizontal="center"/>
    </xf>
    <xf numFmtId="9" fontId="15" fillId="33" borderId="0" xfId="1" applyFont="1" applyFill="1" applyBorder="1" applyAlignment="1">
      <alignment horizontal="center" vertical="center"/>
    </xf>
    <xf numFmtId="9" fontId="15" fillId="33" borderId="20" xfId="1" applyFont="1" applyFill="1" applyBorder="1" applyAlignment="1">
      <alignment horizontal="center" vertical="center"/>
    </xf>
    <xf numFmtId="9" fontId="15" fillId="33" borderId="19" xfId="1" applyFont="1" applyFill="1" applyBorder="1" applyAlignment="1">
      <alignment horizontal="center" vertical="center"/>
    </xf>
    <xf numFmtId="0" fontId="15" fillId="33" borderId="16" xfId="0" applyFont="1" applyFill="1" applyBorder="1" applyAlignment="1">
      <alignment horizontal="right"/>
    </xf>
    <xf numFmtId="10" fontId="0" fillId="0" borderId="17" xfId="0" applyNumberFormat="1" applyFill="1" applyBorder="1" applyAlignment="1">
      <alignment horizontal="center"/>
    </xf>
    <xf numFmtId="0" fontId="0" fillId="0" borderId="0" xfId="0"/>
    <xf numFmtId="0" fontId="0" fillId="0" borderId="10" xfId="0" applyBorder="1"/>
    <xf numFmtId="0" fontId="0" fillId="0" borderId="12" xfId="0" applyBorder="1"/>
    <xf numFmtId="0" fontId="0" fillId="0" borderId="14" xfId="0" applyBorder="1"/>
    <xf numFmtId="0" fontId="0" fillId="0" borderId="15" xfId="0" applyBorder="1"/>
    <xf numFmtId="10" fontId="0" fillId="0" borderId="18" xfId="1" applyNumberFormat="1" applyFont="1" applyBorder="1" applyAlignment="1">
      <alignment horizontal="center"/>
    </xf>
    <xf numFmtId="9" fontId="15" fillId="33" borderId="10" xfId="1" applyFont="1" applyFill="1" applyBorder="1" applyAlignment="1">
      <alignment horizontal="center" vertical="center"/>
    </xf>
    <xf numFmtId="9" fontId="15" fillId="33" borderId="11" xfId="1" applyFont="1" applyFill="1" applyBorder="1" applyAlignment="1">
      <alignment horizontal="center" vertical="center"/>
    </xf>
    <xf numFmtId="9" fontId="15" fillId="33" borderId="12" xfId="1" applyFont="1" applyFill="1" applyBorder="1" applyAlignment="1">
      <alignment horizontal="center" vertical="center"/>
    </xf>
    <xf numFmtId="9" fontId="15" fillId="33" borderId="0" xfId="1" applyFont="1" applyFill="1" applyBorder="1" applyAlignment="1">
      <alignment horizontal="center" vertical="center"/>
    </xf>
    <xf numFmtId="9" fontId="15" fillId="33" borderId="13" xfId="1" applyFont="1" applyFill="1" applyBorder="1" applyAlignment="1">
      <alignment horizontal="center" vertical="center"/>
    </xf>
    <xf numFmtId="0" fontId="15" fillId="33" borderId="16" xfId="0" applyFont="1" applyFill="1" applyBorder="1" applyAlignment="1">
      <alignment horizontal="right"/>
    </xf>
    <xf numFmtId="0" fontId="0" fillId="33" borderId="11" xfId="0" applyFill="1" applyBorder="1"/>
    <xf numFmtId="10" fontId="0" fillId="0" borderId="17" xfId="1" applyNumberFormat="1" applyFont="1" applyFill="1" applyBorder="1" applyAlignment="1">
      <alignment horizontal="center"/>
    </xf>
    <xf numFmtId="10" fontId="0" fillId="0" borderId="17" xfId="1" applyNumberFormat="1" applyFont="1" applyBorder="1" applyAlignment="1">
      <alignment horizontal="center"/>
    </xf>
  </cellXfs>
  <cellStyles count="43">
    <cellStyle name="20% - Accent1" xfId="19" builtinId="30" customBuiltin="1"/>
    <cellStyle name="20% - Accent2" xfId="22" builtinId="34" customBuiltin="1"/>
    <cellStyle name="20% - Accent3" xfId="25" builtinId="38" customBuiltin="1"/>
    <cellStyle name="20% - Accent4" xfId="28" builtinId="42" customBuiltin="1"/>
    <cellStyle name="20% - Accent5" xfId="31" builtinId="46" customBuiltin="1"/>
    <cellStyle name="20% - Accent6" xfId="34" builtinId="50" customBuiltin="1"/>
    <cellStyle name="40% - Accent1" xfId="20" builtinId="31" customBuiltin="1"/>
    <cellStyle name="40% - Accent2" xfId="23" builtinId="35" customBuiltin="1"/>
    <cellStyle name="40% - Accent3" xfId="26" builtinId="39" customBuiltin="1"/>
    <cellStyle name="40% - Accent4" xfId="29" builtinId="43" customBuiltin="1"/>
    <cellStyle name="40% - Accent5" xfId="32" builtinId="47" customBuiltin="1"/>
    <cellStyle name="40% - Accent6" xfId="35" builtinId="51" customBuiltin="1"/>
    <cellStyle name="60% - Accent1 2" xfId="37" xr:uid="{4C1EDC02-9FD3-4933-A055-AE3751574CB2}"/>
    <cellStyle name="60% - Accent2 2" xfId="38" xr:uid="{383B2C2D-1553-4099-8707-BEF7E3D3E603}"/>
    <cellStyle name="60% - Accent3 2" xfId="39" xr:uid="{AA7A4646-6273-4D10-9C5E-2D00D0993ECD}"/>
    <cellStyle name="60% - Accent4 2" xfId="40" xr:uid="{0ED73217-7C00-4EF0-B1BA-3B32CE216E93}"/>
    <cellStyle name="60% - Accent5 2" xfId="41" xr:uid="{9A0BD703-66B5-4975-84E2-CA56261A7F5C}"/>
    <cellStyle name="60% - Accent6 2" xfId="42" xr:uid="{89208966-6C4D-4170-ACB0-9EBDEDC516F7}"/>
    <cellStyle name="Accent1" xfId="18" builtinId="29" customBuiltin="1"/>
    <cellStyle name="Accent2" xfId="21" builtinId="33" customBuiltin="1"/>
    <cellStyle name="Accent3" xfId="24" builtinId="37" customBuiltin="1"/>
    <cellStyle name="Accent4" xfId="27" builtinId="41" customBuiltin="1"/>
    <cellStyle name="Accent5" xfId="30" builtinId="45" customBuiltin="1"/>
    <cellStyle name="Accent6" xfId="33" builtinId="49" customBuiltin="1"/>
    <cellStyle name="Bad" xfId="8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9" builtinId="20" customBuiltin="1"/>
    <cellStyle name="Linked Cell" xfId="12" builtinId="24" customBuiltin="1"/>
    <cellStyle name="Neutral 2" xfId="36" xr:uid="{D5D36FD1-FA4C-4524-86B8-CC541C8788D7}"/>
    <cellStyle name="Normal" xfId="0" builtinId="0"/>
    <cellStyle name="Note" xfId="15" builtinId="10" customBuiltin="1"/>
    <cellStyle name="Output" xfId="10" builtinId="21" customBuiltin="1"/>
    <cellStyle name="Percent" xfId="1" builtinId="5"/>
    <cellStyle name="Title" xfId="2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32"/>
  <sheetViews>
    <sheetView tabSelected="1" workbookViewId="0">
      <selection activeCell="M14" sqref="M14"/>
    </sheetView>
  </sheetViews>
  <sheetFormatPr defaultRowHeight="14.25" x14ac:dyDescent="0.45"/>
  <cols>
    <col min="1" max="1" width="13.59765625" bestFit="1" customWidth="1"/>
    <col min="15" max="23" width="9.1328125" bestFit="1" customWidth="1"/>
    <col min="24" max="24" width="11.59765625" bestFit="1" customWidth="1"/>
  </cols>
  <sheetData>
    <row r="1" spans="1:35" x14ac:dyDescent="0.45">
      <c r="A1" s="2" t="s">
        <v>0</v>
      </c>
      <c r="B1" s="3"/>
      <c r="C1" s="3"/>
      <c r="D1" s="3"/>
      <c r="E1" s="3"/>
      <c r="F1" s="3"/>
      <c r="G1" s="3"/>
      <c r="H1" s="3"/>
      <c r="I1" s="3"/>
      <c r="J1" s="3"/>
      <c r="K1" s="1"/>
      <c r="O1" s="2" t="s">
        <v>12</v>
      </c>
      <c r="P1" s="3"/>
      <c r="Q1" s="3"/>
      <c r="R1" s="3"/>
      <c r="S1" s="3"/>
      <c r="T1" s="3"/>
      <c r="U1" s="3"/>
      <c r="V1" s="3"/>
      <c r="W1" s="3"/>
      <c r="X1" s="3"/>
      <c r="Z1" s="2" t="s">
        <v>12</v>
      </c>
      <c r="AA1" s="3"/>
      <c r="AB1" s="3"/>
      <c r="AC1" s="3"/>
      <c r="AD1" s="3"/>
      <c r="AE1" s="3"/>
      <c r="AF1" s="3"/>
      <c r="AG1" s="3"/>
      <c r="AH1" s="3"/>
      <c r="AI1" s="3"/>
    </row>
    <row r="2" spans="1:35" x14ac:dyDescent="0.45">
      <c r="A2" s="13"/>
      <c r="B2" s="8" t="s">
        <v>1</v>
      </c>
      <c r="C2" s="8" t="s">
        <v>2</v>
      </c>
      <c r="D2" s="8" t="s">
        <v>3</v>
      </c>
      <c r="E2" s="8" t="s">
        <v>4</v>
      </c>
      <c r="F2" s="11" t="s">
        <v>5</v>
      </c>
      <c r="G2" s="8" t="s">
        <v>6</v>
      </c>
      <c r="H2" s="8" t="s">
        <v>7</v>
      </c>
      <c r="I2" s="8" t="s">
        <v>8</v>
      </c>
      <c r="J2" s="8" t="s">
        <v>9</v>
      </c>
      <c r="K2" s="10" t="s">
        <v>10</v>
      </c>
      <c r="N2" s="31" t="s">
        <v>13</v>
      </c>
      <c r="O2" s="28" t="s">
        <v>1</v>
      </c>
      <c r="P2" s="28" t="s">
        <v>2</v>
      </c>
      <c r="Q2" s="28" t="s">
        <v>3</v>
      </c>
      <c r="R2" s="28" t="s">
        <v>4</v>
      </c>
      <c r="S2" s="31" t="s">
        <v>5</v>
      </c>
      <c r="T2" s="28" t="s">
        <v>6</v>
      </c>
      <c r="U2" s="28" t="s">
        <v>7</v>
      </c>
      <c r="V2" s="28" t="s">
        <v>8</v>
      </c>
      <c r="W2" s="28" t="s">
        <v>9</v>
      </c>
      <c r="X2" s="30" t="s">
        <v>10</v>
      </c>
      <c r="Z2" s="28" t="s">
        <v>1</v>
      </c>
      <c r="AA2" s="28" t="s">
        <v>2</v>
      </c>
      <c r="AB2" s="28" t="s">
        <v>3</v>
      </c>
      <c r="AC2" s="28" t="s">
        <v>4</v>
      </c>
      <c r="AD2" s="31" t="s">
        <v>5</v>
      </c>
      <c r="AE2" s="28" t="s">
        <v>6</v>
      </c>
      <c r="AF2" s="28" t="s">
        <v>7</v>
      </c>
      <c r="AG2" s="28" t="s">
        <v>8</v>
      </c>
      <c r="AH2" s="28" t="s">
        <v>9</v>
      </c>
      <c r="AI2" s="30" t="s">
        <v>10</v>
      </c>
    </row>
    <row r="3" spans="1:35" x14ac:dyDescent="0.45">
      <c r="A3" s="9" t="s">
        <v>1</v>
      </c>
      <c r="B3" s="4">
        <v>2.3915659999999999E-3</v>
      </c>
      <c r="C3" s="4">
        <v>7.3578599999999978E-4</v>
      </c>
      <c r="D3" s="4">
        <v>1.3675779999999995E-3</v>
      </c>
      <c r="E3" s="4">
        <v>9.0306900000000005E-4</v>
      </c>
      <c r="F3" s="4">
        <v>6.2291332399618789E-3</v>
      </c>
      <c r="G3" s="4">
        <v>2.9339749999999993E-3</v>
      </c>
      <c r="H3" s="4">
        <v>3.4988029999999991E-3</v>
      </c>
      <c r="I3" s="4">
        <v>2.5659279999999994E-3</v>
      </c>
      <c r="J3" s="4">
        <v>3.2980029999999999E-3</v>
      </c>
      <c r="K3" s="5">
        <v>2.9318600000000001E-3</v>
      </c>
      <c r="N3">
        <v>1</v>
      </c>
      <c r="O3" s="22">
        <f ca="1">_xlfn.NORM.S.INV(RAND())</f>
        <v>0.1938174479467101</v>
      </c>
      <c r="P3" s="22">
        <f t="shared" ref="P3:X18" ca="1" si="0">_xlfn.NORM.S.INV(RAND())</f>
        <v>1.3753876366994175</v>
      </c>
      <c r="Q3" s="22">
        <f t="shared" ca="1" si="0"/>
        <v>-0.39483232338460961</v>
      </c>
      <c r="R3" s="22">
        <f t="shared" ca="1" si="0"/>
        <v>0.32479593706316123</v>
      </c>
      <c r="S3" s="22">
        <f t="shared" ca="1" si="0"/>
        <v>-0.52809668938843557</v>
      </c>
      <c r="T3" s="22">
        <f t="shared" ca="1" si="0"/>
        <v>-0.13874104381479163</v>
      </c>
      <c r="U3" s="22">
        <f t="shared" ca="1" si="0"/>
        <v>0.95259847239657569</v>
      </c>
      <c r="V3" s="22">
        <f t="shared" ca="1" si="0"/>
        <v>0.29760911194230566</v>
      </c>
      <c r="W3" s="22">
        <f t="shared" ca="1" si="0"/>
        <v>0.43532589841972902</v>
      </c>
      <c r="X3" s="22">
        <f t="shared" ca="1" si="0"/>
        <v>0.40390809891644741</v>
      </c>
      <c r="Z3" s="22">
        <f t="array" aca="1" ref="Z3:AI32" ca="1">MMULT(O3:X32,TRANSPOSE(B23:K32))</f>
        <v>9.4783786897019058E-3</v>
      </c>
      <c r="AA3" s="22">
        <f ca="1"/>
        <v>3.3620461818245115E-2</v>
      </c>
      <c r="AB3" s="22">
        <f ca="1"/>
        <v>-0.2244902437246353</v>
      </c>
      <c r="AC3" s="22">
        <f ca="1"/>
        <v>-0.2030755300003845</v>
      </c>
      <c r="AD3" s="22">
        <f ca="1"/>
        <v>-0.13033172839694998</v>
      </c>
      <c r="AE3" s="22">
        <f ca="1"/>
        <v>-0.21147017437728793</v>
      </c>
      <c r="AF3" s="22">
        <f ca="1"/>
        <v>-0.22439585586793143</v>
      </c>
      <c r="AG3" s="22">
        <f ca="1"/>
        <v>-0.21365370478586934</v>
      </c>
      <c r="AH3" s="22">
        <f ca="1"/>
        <v>-0.20835092152478205</v>
      </c>
      <c r="AI3" s="22">
        <f ca="1"/>
        <v>-0.15102011148513159</v>
      </c>
    </row>
    <row r="4" spans="1:35" x14ac:dyDescent="0.45">
      <c r="A4" s="9" t="s">
        <v>2</v>
      </c>
      <c r="B4" s="4">
        <v>7.3578599999999978E-4</v>
      </c>
      <c r="C4" s="4">
        <v>7.247384999999999E-4</v>
      </c>
      <c r="D4" s="4">
        <v>-2.3611384999999998E-3</v>
      </c>
      <c r="E4" s="4">
        <v>-2.4321600000000001E-3</v>
      </c>
      <c r="F4" s="4">
        <v>1.7346685398792893E-4</v>
      </c>
      <c r="G4" s="4">
        <v>-1.6984910000000003E-3</v>
      </c>
      <c r="H4" s="4">
        <v>-1.8702735000000002E-3</v>
      </c>
      <c r="I4" s="4">
        <v>-1.9688275E-3</v>
      </c>
      <c r="J4" s="4">
        <v>-1.4295485000000003E-3</v>
      </c>
      <c r="K4" s="5">
        <v>-1.9410100000000004E-3</v>
      </c>
      <c r="N4">
        <v>2</v>
      </c>
      <c r="O4" s="22">
        <f t="shared" ref="O4:X32" ca="1" si="1">_xlfn.NORM.S.INV(RAND())</f>
        <v>0.64762421376537971</v>
      </c>
      <c r="P4" s="22">
        <f t="shared" ca="1" si="0"/>
        <v>1.7625354462955072</v>
      </c>
      <c r="Q4" s="22">
        <f t="shared" ca="1" si="0"/>
        <v>0.70043444441731728</v>
      </c>
      <c r="R4" s="22">
        <f t="shared" ca="1" si="0"/>
        <v>-0.51300411702354809</v>
      </c>
      <c r="S4" s="22">
        <f t="shared" ca="1" si="0"/>
        <v>0.75804614956279703</v>
      </c>
      <c r="T4" s="22">
        <f t="shared" ca="1" si="0"/>
        <v>9.8125184788779241E-2</v>
      </c>
      <c r="U4" s="22">
        <f t="shared" ca="1" si="0"/>
        <v>0.21276051784189265</v>
      </c>
      <c r="V4" s="22">
        <f t="shared" ca="1" si="0"/>
        <v>-0.16170022308488033</v>
      </c>
      <c r="W4" s="22">
        <f t="shared" ca="1" si="0"/>
        <v>1.1477459033146598</v>
      </c>
      <c r="X4" s="22">
        <f t="shared" ca="1" si="0"/>
        <v>-0.10311476759874774</v>
      </c>
      <c r="Z4" s="22">
        <f ca="1"/>
        <v>3.1671181370505307E-2</v>
      </c>
      <c r="AA4" s="22">
        <f ca="1"/>
        <v>4.9091014649954794E-2</v>
      </c>
      <c r="AB4" s="22">
        <f ca="1"/>
        <v>-9.7712245725906713E-2</v>
      </c>
      <c r="AC4" s="22">
        <f ca="1"/>
        <v>-0.12925347291509623</v>
      </c>
      <c r="AD4" s="22">
        <f ca="1"/>
        <v>2.3986726818858911E-2</v>
      </c>
      <c r="AE4" s="22">
        <f ca="1"/>
        <v>-6.3023992881049387E-2</v>
      </c>
      <c r="AF4" s="22">
        <f ca="1"/>
        <v>-5.0585587424921002E-2</v>
      </c>
      <c r="AG4" s="22">
        <f ca="1"/>
        <v>-8.307883051138662E-2</v>
      </c>
      <c r="AH4" s="22">
        <f ca="1"/>
        <v>-4.2606783101968991E-2</v>
      </c>
      <c r="AI4" s="22">
        <f ca="1"/>
        <v>-0.10395905856649287</v>
      </c>
    </row>
    <row r="5" spans="1:35" x14ac:dyDescent="0.45">
      <c r="A5" s="9" t="s">
        <v>3</v>
      </c>
      <c r="B5" s="4">
        <v>1.3675779999999995E-3</v>
      </c>
      <c r="C5" s="4">
        <v>-2.3611384999999998E-3</v>
      </c>
      <c r="D5" s="4">
        <v>3.8277162099999998E-2</v>
      </c>
      <c r="E5" s="4">
        <v>3.5044803800000003E-2</v>
      </c>
      <c r="F5" s="4">
        <v>2.9867913610176943E-2</v>
      </c>
      <c r="G5" s="4">
        <v>3.3295570999999996E-2</v>
      </c>
      <c r="H5" s="4">
        <v>4.0476473099999993E-2</v>
      </c>
      <c r="I5" s="4">
        <v>3.4548683099999991E-2</v>
      </c>
      <c r="J5" s="4">
        <v>3.2102145499999998E-2</v>
      </c>
      <c r="K5" s="5">
        <v>3.5748352800000001E-2</v>
      </c>
      <c r="N5" s="22">
        <v>3</v>
      </c>
      <c r="O5" s="22">
        <f t="shared" ca="1" si="1"/>
        <v>0.86715111639186948</v>
      </c>
      <c r="P5" s="22">
        <f t="shared" ca="1" si="0"/>
        <v>2.2341605391808153</v>
      </c>
      <c r="Q5" s="22">
        <f t="shared" ca="1" si="0"/>
        <v>0.88661082689396287</v>
      </c>
      <c r="R5" s="22">
        <f t="shared" ca="1" si="0"/>
        <v>-1.6031604550563838</v>
      </c>
      <c r="S5" s="22">
        <f t="shared" ca="1" si="0"/>
        <v>0.42208833262075468</v>
      </c>
      <c r="T5" s="22">
        <f t="shared" ca="1" si="0"/>
        <v>-0.6707803627319785</v>
      </c>
      <c r="U5" s="22">
        <f t="shared" ca="1" si="0"/>
        <v>-0.5457145297648921</v>
      </c>
      <c r="V5" s="22">
        <f t="shared" ca="1" si="0"/>
        <v>0.89310376475174014</v>
      </c>
      <c r="W5" s="22">
        <f t="shared" ca="1" si="0"/>
        <v>-0.13209192351259752</v>
      </c>
      <c r="X5" s="22">
        <f t="shared" ca="1" si="0"/>
        <v>1.1674376033230425</v>
      </c>
      <c r="Z5" s="22">
        <f ca="1"/>
        <v>4.2406845975083575E-2</v>
      </c>
      <c r="AA5" s="22">
        <f ca="1"/>
        <v>6.2922563023942599E-2</v>
      </c>
      <c r="AB5" s="22">
        <f ca="1"/>
        <v>-0.12275050281561653</v>
      </c>
      <c r="AC5" s="22">
        <f ca="1"/>
        <v>-0.19833217467803321</v>
      </c>
      <c r="AD5" s="22">
        <f ca="1"/>
        <v>-8.3255010711238392E-2</v>
      </c>
      <c r="AE5" s="22">
        <f ca="1"/>
        <v>-8.923176295571926E-2</v>
      </c>
      <c r="AF5" s="22">
        <f ca="1"/>
        <v>-4.8774833947125257E-2</v>
      </c>
      <c r="AG5" s="22">
        <f ca="1"/>
        <v>-0.14391886133839488</v>
      </c>
      <c r="AH5" s="22">
        <f ca="1"/>
        <v>-3.60095724369918E-2</v>
      </c>
      <c r="AI5" s="22">
        <f ca="1"/>
        <v>-0.14601406190938718</v>
      </c>
    </row>
    <row r="6" spans="1:35" x14ac:dyDescent="0.45">
      <c r="A6" s="9" t="s">
        <v>4</v>
      </c>
      <c r="B6" s="4">
        <v>9.0306900000000005E-4</v>
      </c>
      <c r="C6" s="4">
        <v>-2.4321600000000001E-3</v>
      </c>
      <c r="D6" s="4">
        <v>3.5044803800000003E-2</v>
      </c>
      <c r="E6" s="4">
        <v>3.3575930399999995E-2</v>
      </c>
      <c r="F6" s="4">
        <v>2.9801766718634503E-2</v>
      </c>
      <c r="G6" s="4">
        <v>2.9619981E-2</v>
      </c>
      <c r="H6" s="4">
        <v>3.5655872800000002E-2</v>
      </c>
      <c r="I6" s="4">
        <v>3.1657321799999999E-2</v>
      </c>
      <c r="J6" s="4">
        <v>2.7657174E-2</v>
      </c>
      <c r="K6" s="5">
        <v>3.2132822400000004E-2</v>
      </c>
      <c r="N6" s="22">
        <v>4</v>
      </c>
      <c r="O6" s="22">
        <f t="shared" ca="1" si="1"/>
        <v>-2.0677776882402474</v>
      </c>
      <c r="P6" s="22">
        <f t="shared" ca="1" si="0"/>
        <v>0.29002363539129206</v>
      </c>
      <c r="Q6" s="22">
        <f t="shared" ca="1" si="0"/>
        <v>1.1617638925533906</v>
      </c>
      <c r="R6" s="22">
        <f t="shared" ca="1" si="0"/>
        <v>0.72497451178844641</v>
      </c>
      <c r="S6" s="22">
        <f t="shared" ca="1" si="0"/>
        <v>1.1733079233727608</v>
      </c>
      <c r="T6" s="22">
        <f t="shared" ca="1" si="0"/>
        <v>1.0249201850077203</v>
      </c>
      <c r="U6" s="22">
        <f t="shared" ca="1" si="0"/>
        <v>0.31033596420338411</v>
      </c>
      <c r="V6" s="22">
        <f t="shared" ca="1" si="0"/>
        <v>-0.48495680981657313</v>
      </c>
      <c r="W6" s="22">
        <f t="shared" ca="1" si="0"/>
        <v>-1.2585829988447956</v>
      </c>
      <c r="X6" s="22">
        <f t="shared" ca="1" si="0"/>
        <v>-9.1714922083976788E-2</v>
      </c>
      <c r="Z6" s="22">
        <f ca="1"/>
        <v>-0.10112185555474969</v>
      </c>
      <c r="AA6" s="22">
        <f ca="1"/>
        <v>-2.4636484543057842E-2</v>
      </c>
      <c r="AB6" s="22">
        <f ca="1"/>
        <v>7.8221127629538006E-2</v>
      </c>
      <c r="AC6" s="22">
        <f ca="1"/>
        <v>0.10545426466462572</v>
      </c>
      <c r="AD6" s="22">
        <f ca="1"/>
        <v>-1.7861870252564305E-2</v>
      </c>
      <c r="AE6" s="22">
        <f ca="1"/>
        <v>7.6155188159686173E-3</v>
      </c>
      <c r="AF6" s="22">
        <f ca="1"/>
        <v>-2.0868145353815506E-2</v>
      </c>
      <c r="AG6" s="22">
        <f ca="1"/>
        <v>5.5673366349720664E-2</v>
      </c>
      <c r="AH6" s="22">
        <f ca="1"/>
        <v>-3.8847907278845142E-2</v>
      </c>
      <c r="AI6" s="22">
        <f ca="1"/>
        <v>6.6103152505795792E-2</v>
      </c>
    </row>
    <row r="7" spans="1:35" x14ac:dyDescent="0.45">
      <c r="A7" s="31" t="s">
        <v>5</v>
      </c>
      <c r="B7" s="4">
        <v>6.2291332399618789E-3</v>
      </c>
      <c r="C7" s="4">
        <v>1.7346685398792893E-4</v>
      </c>
      <c r="D7" s="4">
        <v>2.9867913610176943E-2</v>
      </c>
      <c r="E7" s="4">
        <v>2.9801766718634503E-2</v>
      </c>
      <c r="F7" s="4">
        <v>4.6821235066722679E-2</v>
      </c>
      <c r="G7" s="4">
        <v>2.8627904273818373E-2</v>
      </c>
      <c r="H7" s="4">
        <v>3.4264969667811743E-2</v>
      </c>
      <c r="I7" s="4">
        <v>3.0990826187872477E-2</v>
      </c>
      <c r="J7" s="4">
        <v>2.6346311059809169E-2</v>
      </c>
      <c r="K7" s="5">
        <v>3.0609332220535256E-2</v>
      </c>
      <c r="N7" s="22">
        <v>5</v>
      </c>
      <c r="O7" s="22">
        <f t="shared" ca="1" si="1"/>
        <v>-2.5070543978797516E-2</v>
      </c>
      <c r="P7" s="22">
        <f t="shared" ca="1" si="0"/>
        <v>-0.83384516910348982</v>
      </c>
      <c r="Q7" s="22">
        <f t="shared" ca="1" si="0"/>
        <v>-2.5059878882108994E-2</v>
      </c>
      <c r="R7" s="22">
        <f t="shared" ca="1" si="0"/>
        <v>1.5630534027819054</v>
      </c>
      <c r="S7" s="22">
        <f t="shared" ca="1" si="0"/>
        <v>-0.28472063407347387</v>
      </c>
      <c r="T7" s="22">
        <f t="shared" ca="1" si="0"/>
        <v>-0.76543122657805351</v>
      </c>
      <c r="U7" s="22">
        <f t="shared" ca="1" si="0"/>
        <v>1.1943897668071592</v>
      </c>
      <c r="V7" s="22">
        <f t="shared" ca="1" si="0"/>
        <v>-1.5423270410650707</v>
      </c>
      <c r="W7" s="22">
        <f t="shared" ca="1" si="0"/>
        <v>-1.0950984866895361</v>
      </c>
      <c r="X7" s="22">
        <f t="shared" ca="1" si="0"/>
        <v>1.8321054477253507</v>
      </c>
      <c r="Z7" s="22">
        <f ca="1"/>
        <v>-1.2260408559976728E-3</v>
      </c>
      <c r="AA7" s="22">
        <f ca="1"/>
        <v>-1.8992084653341571E-2</v>
      </c>
      <c r="AB7" s="22">
        <f ca="1"/>
        <v>9.9492944609051018E-2</v>
      </c>
      <c r="AC7" s="22">
        <f ca="1"/>
        <v>0.15519168616744339</v>
      </c>
      <c r="AD7" s="22">
        <f ca="1"/>
        <v>0.18245155870696325</v>
      </c>
      <c r="AE7" s="22">
        <f ca="1"/>
        <v>3.4888364090842755E-2</v>
      </c>
      <c r="AF7" s="22">
        <f ca="1"/>
        <v>8.3393083984461727E-2</v>
      </c>
      <c r="AG7" s="22">
        <f ca="1"/>
        <v>6.5566262242682777E-2</v>
      </c>
      <c r="AH7" s="22">
        <f ca="1"/>
        <v>4.6309702455367878E-3</v>
      </c>
      <c r="AI7" s="22">
        <f ca="1"/>
        <v>0.18568922193078902</v>
      </c>
    </row>
    <row r="8" spans="1:35" x14ac:dyDescent="0.45">
      <c r="A8" s="9" t="s">
        <v>6</v>
      </c>
      <c r="B8" s="4">
        <v>2.9339749999999993E-3</v>
      </c>
      <c r="C8" s="4">
        <v>-1.6984910000000003E-3</v>
      </c>
      <c r="D8" s="4">
        <v>3.3295570999999996E-2</v>
      </c>
      <c r="E8" s="4">
        <v>2.9619981E-2</v>
      </c>
      <c r="F8" s="4">
        <v>2.8627904273818373E-2</v>
      </c>
      <c r="G8" s="4">
        <v>3.1958868000000001E-2</v>
      </c>
      <c r="H8" s="4">
        <v>3.7331153999999998E-2</v>
      </c>
      <c r="I8" s="4">
        <v>3.2666469999999989E-2</v>
      </c>
      <c r="J8" s="4">
        <v>3.1308743E-2</v>
      </c>
      <c r="K8" s="5">
        <v>3.3618874999999999E-2</v>
      </c>
      <c r="N8" s="22">
        <v>6</v>
      </c>
      <c r="O8" s="22">
        <f t="shared" ca="1" si="1"/>
        <v>1.0425309313611761</v>
      </c>
      <c r="P8" s="22">
        <f t="shared" ca="1" si="0"/>
        <v>-1.3099466075764241</v>
      </c>
      <c r="Q8" s="22">
        <f t="shared" ca="1" si="0"/>
        <v>-0.64515542879690324</v>
      </c>
      <c r="R8" s="22">
        <f t="shared" ca="1" si="0"/>
        <v>0.22049919527252637</v>
      </c>
      <c r="S8" s="22">
        <f t="shared" ca="1" si="0"/>
        <v>-0.27302727797468779</v>
      </c>
      <c r="T8" s="22">
        <f t="shared" ca="1" si="0"/>
        <v>-0.6196181664012016</v>
      </c>
      <c r="U8" s="22">
        <f t="shared" ca="1" si="0"/>
        <v>0.92426903727159382</v>
      </c>
      <c r="V8" s="22">
        <f t="shared" ca="1" si="0"/>
        <v>-0.8761943783247349</v>
      </c>
      <c r="W8" s="22">
        <f t="shared" ca="1" si="0"/>
        <v>-0.83028780662012025</v>
      </c>
      <c r="X8" s="22">
        <f t="shared" ca="1" si="0"/>
        <v>-0.97296160067943704</v>
      </c>
      <c r="Z8" s="22">
        <f ca="1"/>
        <v>5.0983557300196013E-2</v>
      </c>
      <c r="AA8" s="22">
        <f ca="1"/>
        <v>-1.3557908191718867E-2</v>
      </c>
      <c r="AB8" s="22">
        <f ca="1"/>
        <v>9.6771408197292866E-2</v>
      </c>
      <c r="AC8" s="22">
        <f ca="1"/>
        <v>0.10195931924784903</v>
      </c>
      <c r="AD8" s="22">
        <f ca="1"/>
        <v>0.16585867627029008</v>
      </c>
      <c r="AE8" s="22">
        <f ca="1"/>
        <v>0.11412793061449505</v>
      </c>
      <c r="AF8" s="22">
        <f ca="1"/>
        <v>0.16528575564228504</v>
      </c>
      <c r="AG8" s="22">
        <f ca="1"/>
        <v>0.11186216063212863</v>
      </c>
      <c r="AH8" s="22">
        <f ca="1"/>
        <v>0.11590324998507083</v>
      </c>
      <c r="AI8" s="22">
        <f ca="1"/>
        <v>0.23062749371261701</v>
      </c>
    </row>
    <row r="9" spans="1:35" x14ac:dyDescent="0.45">
      <c r="A9" s="9" t="s">
        <v>7</v>
      </c>
      <c r="B9" s="4">
        <v>3.4988029999999991E-3</v>
      </c>
      <c r="C9" s="4">
        <v>-1.8702735000000002E-3</v>
      </c>
      <c r="D9" s="4">
        <v>4.0476473099999993E-2</v>
      </c>
      <c r="E9" s="4">
        <v>3.5655872800000002E-2</v>
      </c>
      <c r="F9" s="4">
        <v>3.4264969667811743E-2</v>
      </c>
      <c r="G9" s="4">
        <v>3.7331153999999998E-2</v>
      </c>
      <c r="H9" s="4">
        <v>4.6369746099999998E-2</v>
      </c>
      <c r="I9" s="4">
        <v>3.7777357099999999E-2</v>
      </c>
      <c r="J9" s="4">
        <v>3.6929434500000004E-2</v>
      </c>
      <c r="K9" s="5">
        <v>4.14934198E-2</v>
      </c>
      <c r="N9" s="22">
        <v>7</v>
      </c>
      <c r="O9" s="22">
        <f t="shared" ca="1" si="1"/>
        <v>-0.53643755294563589</v>
      </c>
      <c r="P9" s="22">
        <f t="shared" ca="1" si="0"/>
        <v>-0.97479439000894486</v>
      </c>
      <c r="Q9" s="22">
        <f t="shared" ca="1" si="0"/>
        <v>-0.64737206322109997</v>
      </c>
      <c r="R9" s="22">
        <f t="shared" ca="1" si="0"/>
        <v>-0.67395781448904746</v>
      </c>
      <c r="S9" s="22">
        <f t="shared" ca="1" si="0"/>
        <v>1.4606815455563371</v>
      </c>
      <c r="T9" s="22">
        <f t="shared" ca="1" si="0"/>
        <v>0.41923684521677873</v>
      </c>
      <c r="U9" s="22">
        <f t="shared" ca="1" si="0"/>
        <v>-0.38224113920880565</v>
      </c>
      <c r="V9" s="22">
        <f t="shared" ca="1" si="0"/>
        <v>-1.084555927517191</v>
      </c>
      <c r="W9" s="22">
        <f t="shared" ca="1" si="0"/>
        <v>0.19866350441351455</v>
      </c>
      <c r="X9" s="22">
        <f t="shared" ca="1" si="0"/>
        <v>-0.32666094774123128</v>
      </c>
      <c r="Z9" s="22">
        <f ca="1"/>
        <v>-2.623374894294216E-2</v>
      </c>
      <c r="AA9" s="22">
        <f ca="1"/>
        <v>-2.9832493908565023E-2</v>
      </c>
      <c r="AB9" s="22">
        <f ca="1"/>
        <v>1.0522996324285563E-2</v>
      </c>
      <c r="AC9" s="22">
        <f ca="1"/>
        <v>-1.1993829707742168E-3</v>
      </c>
      <c r="AD9" s="22">
        <f ca="1"/>
        <v>-3.4768609917014831E-2</v>
      </c>
      <c r="AE9" s="22">
        <f ca="1"/>
        <v>5.1162132459821125E-2</v>
      </c>
      <c r="AF9" s="22">
        <f ca="1"/>
        <v>2.692219476715604E-2</v>
      </c>
      <c r="AG9" s="22">
        <f ca="1"/>
        <v>4.8057163404649571E-2</v>
      </c>
      <c r="AH9" s="22">
        <f ca="1"/>
        <v>5.3247950046114684E-2</v>
      </c>
      <c r="AI9" s="22">
        <f ca="1"/>
        <v>-8.4191675093343282E-3</v>
      </c>
    </row>
    <row r="10" spans="1:35" x14ac:dyDescent="0.45">
      <c r="A10" s="9" t="s">
        <v>8</v>
      </c>
      <c r="B10" s="4">
        <v>2.5659279999999994E-3</v>
      </c>
      <c r="C10" s="4">
        <v>-1.9688275E-3</v>
      </c>
      <c r="D10" s="4">
        <v>3.4548683099999991E-2</v>
      </c>
      <c r="E10" s="4">
        <v>3.1657321799999999E-2</v>
      </c>
      <c r="F10" s="4">
        <v>3.0990826187872477E-2</v>
      </c>
      <c r="G10" s="4">
        <v>3.2666469999999989E-2</v>
      </c>
      <c r="H10" s="4">
        <v>3.7777357099999999E-2</v>
      </c>
      <c r="I10" s="4">
        <v>3.4140270100000009E-2</v>
      </c>
      <c r="J10" s="4">
        <v>3.1278428500000004E-2</v>
      </c>
      <c r="K10" s="5">
        <v>3.5075134800000012E-2</v>
      </c>
      <c r="N10" s="22">
        <v>8</v>
      </c>
      <c r="O10" s="22">
        <f t="shared" ca="1" si="1"/>
        <v>-0.21379727945979315</v>
      </c>
      <c r="P10" s="22">
        <f t="shared" ca="1" si="0"/>
        <v>-0.42955838614543135</v>
      </c>
      <c r="Q10" s="22">
        <f t="shared" ca="1" si="0"/>
        <v>-1.0092711783641979</v>
      </c>
      <c r="R10" s="22">
        <f t="shared" ca="1" si="0"/>
        <v>-0.25483362781755886</v>
      </c>
      <c r="S10" s="22">
        <f t="shared" ca="1" si="0"/>
        <v>-0.27858150997520115</v>
      </c>
      <c r="T10" s="22">
        <f t="shared" ca="1" si="0"/>
        <v>-8.1504128566664835E-2</v>
      </c>
      <c r="U10" s="22">
        <f t="shared" ca="1" si="0"/>
        <v>0.46889300684474966</v>
      </c>
      <c r="V10" s="22">
        <f t="shared" ca="1" si="0"/>
        <v>-1.1593570651402429E-2</v>
      </c>
      <c r="W10" s="22">
        <f t="shared" ca="1" si="0"/>
        <v>0.5142842053576423</v>
      </c>
      <c r="X10" s="22">
        <f t="shared" ca="1" si="0"/>
        <v>1.8336522627623248</v>
      </c>
      <c r="Z10" s="22">
        <f ca="1"/>
        <v>-1.0455465176206E-2</v>
      </c>
      <c r="AA10" s="22">
        <f ca="1"/>
        <v>-1.2806239225416242E-2</v>
      </c>
      <c r="AB10" s="22">
        <f ca="1"/>
        <v>-0.10203573248673277</v>
      </c>
      <c r="AC10" s="22">
        <f ca="1"/>
        <v>-9.3327498125747838E-2</v>
      </c>
      <c r="AD10" s="22">
        <f ca="1"/>
        <v>-0.14685685529740714</v>
      </c>
      <c r="AE10" s="22">
        <f ca="1"/>
        <v>-8.0115362554968844E-2</v>
      </c>
      <c r="AF10" s="22">
        <f ca="1"/>
        <v>-9.4956027495000789E-2</v>
      </c>
      <c r="AG10" s="22">
        <f ca="1"/>
        <v>-8.4465650345251331E-2</v>
      </c>
      <c r="AH10" s="22">
        <f ca="1"/>
        <v>-7.5827873757423156E-2</v>
      </c>
      <c r="AI10" s="22">
        <f ca="1"/>
        <v>-5.8118464010991203E-2</v>
      </c>
    </row>
    <row r="11" spans="1:35" x14ac:dyDescent="0.45">
      <c r="A11" s="9" t="s">
        <v>9</v>
      </c>
      <c r="B11" s="4">
        <v>3.2980029999999999E-3</v>
      </c>
      <c r="C11" s="4">
        <v>-1.4295485000000003E-3</v>
      </c>
      <c r="D11" s="4">
        <v>3.2102145499999998E-2</v>
      </c>
      <c r="E11" s="4">
        <v>2.7657174E-2</v>
      </c>
      <c r="F11" s="4">
        <v>2.6346311059809169E-2</v>
      </c>
      <c r="G11" s="4">
        <v>3.1308743E-2</v>
      </c>
      <c r="H11" s="4">
        <v>3.6929434500000004E-2</v>
      </c>
      <c r="I11" s="4">
        <v>3.1278428500000004E-2</v>
      </c>
      <c r="J11" s="4">
        <v>3.1370416500000005E-2</v>
      </c>
      <c r="K11" s="5">
        <v>3.2286149E-2</v>
      </c>
      <c r="N11" s="22">
        <v>9</v>
      </c>
      <c r="O11" s="22">
        <f t="shared" ca="1" si="1"/>
        <v>0.60149583739535561</v>
      </c>
      <c r="P11" s="22">
        <f t="shared" ca="1" si="0"/>
        <v>-0.61810953662223689</v>
      </c>
      <c r="Q11" s="22">
        <f t="shared" ca="1" si="0"/>
        <v>-1.7240729404590605</v>
      </c>
      <c r="R11" s="22">
        <f t="shared" ca="1" si="0"/>
        <v>5.2246699744887853E-2</v>
      </c>
      <c r="S11" s="22">
        <f t="shared" ca="1" si="0"/>
        <v>0.45592347048723586</v>
      </c>
      <c r="T11" s="22">
        <f t="shared" ca="1" si="0"/>
        <v>-0.72506496728154934</v>
      </c>
      <c r="U11" s="22">
        <f t="shared" ca="1" si="0"/>
        <v>-0.83995268610620077</v>
      </c>
      <c r="V11" s="22">
        <f t="shared" ca="1" si="0"/>
        <v>0.78356639803996764</v>
      </c>
      <c r="W11" s="22">
        <f t="shared" ca="1" si="0"/>
        <v>-0.55818816023288975</v>
      </c>
      <c r="X11" s="22">
        <f t="shared" ca="1" si="0"/>
        <v>-1.4491375207229336</v>
      </c>
      <c r="Z11" s="22">
        <f ca="1"/>
        <v>2.9415335861196986E-2</v>
      </c>
      <c r="AA11" s="22">
        <f ca="1"/>
        <v>-4.7488855506041747E-3</v>
      </c>
      <c r="AB11" s="22">
        <f ca="1"/>
        <v>-0.16168215278971573</v>
      </c>
      <c r="AC11" s="22">
        <f ca="1"/>
        <v>-0.13761411884279326</v>
      </c>
      <c r="AD11" s="22">
        <f ca="1"/>
        <v>-3.4940286427165387E-2</v>
      </c>
      <c r="AE11" s="22">
        <f ca="1"/>
        <v>-0.10812450216060031</v>
      </c>
      <c r="AF11" s="22">
        <f ca="1"/>
        <v>-0.13540740030033804</v>
      </c>
      <c r="AG11" s="22">
        <f ca="1"/>
        <v>-0.11772886825505963</v>
      </c>
      <c r="AH11" s="22">
        <f ca="1"/>
        <v>-0.10051351361117307</v>
      </c>
      <c r="AI11" s="22">
        <f ca="1"/>
        <v>-0.15633967797507439</v>
      </c>
    </row>
    <row r="12" spans="1:35" ht="14.65" thickBot="1" x14ac:dyDescent="0.5">
      <c r="A12" s="12" t="s">
        <v>10</v>
      </c>
      <c r="B12" s="6">
        <v>2.9318600000000001E-3</v>
      </c>
      <c r="C12" s="6">
        <v>-1.9410100000000004E-3</v>
      </c>
      <c r="D12" s="6">
        <v>3.5748352800000001E-2</v>
      </c>
      <c r="E12" s="6">
        <v>3.2132822400000004E-2</v>
      </c>
      <c r="F12" s="6">
        <v>3.0609332220535256E-2</v>
      </c>
      <c r="G12" s="6">
        <v>3.3618874999999999E-2</v>
      </c>
      <c r="H12" s="6">
        <v>4.14934198E-2</v>
      </c>
      <c r="I12" s="6">
        <v>3.5075134800000012E-2</v>
      </c>
      <c r="J12" s="6">
        <v>3.2286149E-2</v>
      </c>
      <c r="K12" s="7">
        <v>4.4504050400000016E-2</v>
      </c>
      <c r="N12" s="22">
        <v>10</v>
      </c>
      <c r="O12" s="22">
        <f t="shared" ca="1" si="1"/>
        <v>0.48609424749130475</v>
      </c>
      <c r="P12" s="22">
        <f t="shared" ca="1" si="0"/>
        <v>0.74443181614264264</v>
      </c>
      <c r="Q12" s="22">
        <f t="shared" ca="1" si="0"/>
        <v>0.79428080488915942</v>
      </c>
      <c r="R12" s="22">
        <f t="shared" ca="1" si="0"/>
        <v>1.4903343643196381</v>
      </c>
      <c r="S12" s="22">
        <f t="shared" ca="1" si="0"/>
        <v>0.31600785679211552</v>
      </c>
      <c r="T12" s="22">
        <f t="shared" ca="1" si="0"/>
        <v>1.5976977943348507</v>
      </c>
      <c r="U12" s="22">
        <f t="shared" ca="1" si="0"/>
        <v>-0.50235811278089781</v>
      </c>
      <c r="V12" s="22">
        <f t="shared" ca="1" si="0"/>
        <v>0.12148999616322788</v>
      </c>
      <c r="W12" s="22">
        <f t="shared" ca="1" si="0"/>
        <v>1.0172951463376918</v>
      </c>
      <c r="X12" s="22">
        <f t="shared" ca="1" si="0"/>
        <v>-1.5546630478265622</v>
      </c>
      <c r="Z12" s="22">
        <f ca="1"/>
        <v>2.3771778059295586E-2</v>
      </c>
      <c r="AA12" s="22">
        <f ca="1"/>
        <v>2.3932399154640644E-2</v>
      </c>
      <c r="AB12" s="22">
        <f ca="1"/>
        <v>3.8548977199001008E-2</v>
      </c>
      <c r="AC12" s="22">
        <f ca="1"/>
        <v>7.760756804408607E-2</v>
      </c>
      <c r="AD12" s="22">
        <f ca="1"/>
        <v>0.24669935618231439</v>
      </c>
      <c r="AE12" s="22">
        <f ca="1"/>
        <v>5.6925408131793365E-2</v>
      </c>
      <c r="AF12" s="22">
        <f ca="1"/>
        <v>-1.2754792565201839E-2</v>
      </c>
      <c r="AG12" s="22">
        <f ca="1"/>
        <v>9.576273907918377E-2</v>
      </c>
      <c r="AH12" s="22">
        <f ca="1"/>
        <v>2.0503967658521031E-2</v>
      </c>
      <c r="AI12" s="22">
        <f ca="1"/>
        <v>-2.8531121977379392E-2</v>
      </c>
    </row>
    <row r="13" spans="1:35" x14ac:dyDescent="0.45">
      <c r="N13" s="22">
        <v>11</v>
      </c>
      <c r="O13" s="22">
        <f t="shared" ca="1" si="1"/>
        <v>-0.11534890632879623</v>
      </c>
      <c r="P13" s="22">
        <f t="shared" ca="1" si="0"/>
        <v>-1.3394513038285567</v>
      </c>
      <c r="Q13" s="22">
        <f t="shared" ca="1" si="0"/>
        <v>-1.5638088243381307</v>
      </c>
      <c r="R13" s="22">
        <f t="shared" ca="1" si="0"/>
        <v>0.57329324530037185</v>
      </c>
      <c r="S13" s="22">
        <f t="shared" ca="1" si="0"/>
        <v>1.3599668661566949E-2</v>
      </c>
      <c r="T13" s="22">
        <f t="shared" ca="1" si="0"/>
        <v>0.46481066612833571</v>
      </c>
      <c r="U13" s="22">
        <f t="shared" ca="1" si="0"/>
        <v>1.1994908306331136</v>
      </c>
      <c r="V13" s="22">
        <f t="shared" ca="1" si="0"/>
        <v>0.16856987924171393</v>
      </c>
      <c r="W13" s="22">
        <f t="shared" ca="1" si="0"/>
        <v>0.39621696637558479</v>
      </c>
      <c r="X13" s="22">
        <f t="shared" ca="1" si="0"/>
        <v>1.1218676169312671</v>
      </c>
      <c r="Z13" s="22">
        <f ca="1"/>
        <v>-5.6409813833060629E-3</v>
      </c>
      <c r="AA13" s="22">
        <f ca="1"/>
        <v>-3.1637605294162666E-2</v>
      </c>
      <c r="AB13" s="22">
        <f ca="1"/>
        <v>-6.8086765745759947E-2</v>
      </c>
      <c r="AC13" s="22">
        <f ca="1"/>
        <v>-2.3068375882044904E-2</v>
      </c>
      <c r="AD13" s="22">
        <f ca="1"/>
        <v>-3.2450625229924514E-2</v>
      </c>
      <c r="AE13" s="22">
        <f ca="1"/>
        <v>-2.836255217242252E-2</v>
      </c>
      <c r="AF13" s="22">
        <f ca="1"/>
        <v>-6.1826714544663999E-2</v>
      </c>
      <c r="AG13" s="22">
        <f ca="1"/>
        <v>4.367555910790113E-4</v>
      </c>
      <c r="AH13" s="22">
        <f ca="1"/>
        <v>-5.5897259418083933E-2</v>
      </c>
      <c r="AI13" s="22">
        <f ca="1"/>
        <v>6.8081620374928806E-2</v>
      </c>
    </row>
    <row r="14" spans="1:35" x14ac:dyDescent="0.45">
      <c r="N14" s="22">
        <v>12</v>
      </c>
      <c r="O14" s="22">
        <f t="shared" ca="1" si="1"/>
        <v>0.72404515897135169</v>
      </c>
      <c r="P14" s="22">
        <f t="shared" ca="1" si="0"/>
        <v>-0.27425413925778563</v>
      </c>
      <c r="Q14" s="22">
        <f t="shared" ca="1" si="0"/>
        <v>-0.23455761364086616</v>
      </c>
      <c r="R14" s="22">
        <f t="shared" ca="1" si="0"/>
        <v>0.12621764467697286</v>
      </c>
      <c r="S14" s="22">
        <f t="shared" ca="1" si="0"/>
        <v>1.2616075757521363</v>
      </c>
      <c r="T14" s="22">
        <f t="shared" ca="1" si="0"/>
        <v>0.23242730384008642</v>
      </c>
      <c r="U14" s="22">
        <f t="shared" ca="1" si="0"/>
        <v>-1.0104445515240079</v>
      </c>
      <c r="V14" s="22">
        <f t="shared" ca="1" si="0"/>
        <v>1.2951705591764904</v>
      </c>
      <c r="W14" s="22">
        <f t="shared" ca="1" si="0"/>
        <v>-2.1589567169534671</v>
      </c>
      <c r="X14" s="22">
        <f t="shared" ca="1" si="0"/>
        <v>-3.2212434221949353E-2</v>
      </c>
      <c r="Z14" s="22">
        <f ca="1"/>
        <v>3.5408443759216153E-2</v>
      </c>
      <c r="AA14" s="22">
        <f ca="1"/>
        <v>4.7712246328781007E-3</v>
      </c>
      <c r="AB14" s="22">
        <f ca="1"/>
        <v>1.9659309840819303E-2</v>
      </c>
      <c r="AC14" s="22">
        <f ca="1"/>
        <v>2.0619178170637367E-2</v>
      </c>
      <c r="AD14" s="22">
        <f ca="1"/>
        <v>0.17709628763288726</v>
      </c>
      <c r="AE14" s="22">
        <f ca="1"/>
        <v>6.8713452773128333E-2</v>
      </c>
      <c r="AF14" s="22">
        <f ca="1"/>
        <v>4.712037612594748E-2</v>
      </c>
      <c r="AG14" s="22">
        <f ca="1"/>
        <v>7.7540721449648839E-2</v>
      </c>
      <c r="AH14" s="22">
        <f ca="1"/>
        <v>5.8895949154037702E-2</v>
      </c>
      <c r="AI14" s="22">
        <f ca="1"/>
        <v>5.82279169141156E-2</v>
      </c>
    </row>
    <row r="15" spans="1:35" ht="14.65" thickBot="1" x14ac:dyDescent="0.5">
      <c r="A15" s="14"/>
      <c r="B15" s="18" t="s">
        <v>1</v>
      </c>
      <c r="C15" s="18" t="s">
        <v>2</v>
      </c>
      <c r="D15" s="18" t="s">
        <v>3</v>
      </c>
      <c r="E15" s="18" t="s">
        <v>4</v>
      </c>
      <c r="F15" s="17" t="s">
        <v>5</v>
      </c>
      <c r="G15" s="18" t="s">
        <v>6</v>
      </c>
      <c r="H15" s="18" t="s">
        <v>7</v>
      </c>
      <c r="I15" s="18" t="s">
        <v>8</v>
      </c>
      <c r="J15" s="18" t="s">
        <v>9</v>
      </c>
      <c r="K15" s="19" t="s">
        <v>10</v>
      </c>
      <c r="N15" s="22">
        <v>13</v>
      </c>
      <c r="O15" s="22">
        <f t="shared" ca="1" si="1"/>
        <v>0.45460537101481585</v>
      </c>
      <c r="P15" s="22">
        <f t="shared" ca="1" si="0"/>
        <v>0.7268906852476984</v>
      </c>
      <c r="Q15" s="22">
        <f t="shared" ca="1" si="0"/>
        <v>-0.68273743206924631</v>
      </c>
      <c r="R15" s="22">
        <f t="shared" ca="1" si="0"/>
        <v>-0.26151757688107735</v>
      </c>
      <c r="S15" s="22">
        <f t="shared" ca="1" si="0"/>
        <v>0.46576560408902234</v>
      </c>
      <c r="T15" s="22">
        <f t="shared" ca="1" si="0"/>
        <v>-0.53394660272145433</v>
      </c>
      <c r="U15" s="22">
        <f t="shared" ca="1" si="0"/>
        <v>-9.0332211783908503E-2</v>
      </c>
      <c r="V15" s="22">
        <f t="shared" ca="1" si="0"/>
        <v>-1.8995107159573461</v>
      </c>
      <c r="W15" s="22">
        <f t="shared" ca="1" si="0"/>
        <v>-1.2478726571110461</v>
      </c>
      <c r="X15" s="22">
        <f t="shared" ca="1" si="0"/>
        <v>0.56948728554603667</v>
      </c>
      <c r="Z15" s="22">
        <f ca="1"/>
        <v>2.2231857381775005E-2</v>
      </c>
      <c r="AA15" s="22">
        <f ca="1"/>
        <v>2.3067038422882193E-2</v>
      </c>
      <c r="AB15" s="22">
        <f ca="1"/>
        <v>-0.17905688805438369</v>
      </c>
      <c r="AC15" s="22">
        <f ca="1"/>
        <v>-0.17887231715817559</v>
      </c>
      <c r="AD15" s="22">
        <f ca="1"/>
        <v>-6.9892063532668275E-2</v>
      </c>
      <c r="AE15" s="22">
        <f ca="1"/>
        <v>-0.14135944139370538</v>
      </c>
      <c r="AF15" s="22">
        <f ca="1"/>
        <v>-0.14557546236852092</v>
      </c>
      <c r="AG15" s="22">
        <f ca="1"/>
        <v>-0.17141597512221141</v>
      </c>
      <c r="AH15" s="22">
        <f ca="1"/>
        <v>-0.11335029268751835</v>
      </c>
      <c r="AI15" s="22">
        <f ca="1"/>
        <v>-0.14051220549828525</v>
      </c>
    </row>
    <row r="16" spans="1:35" ht="14.65" thickBot="1" x14ac:dyDescent="0.5">
      <c r="A16" s="20" t="s">
        <v>14</v>
      </c>
      <c r="B16" s="21">
        <v>4.8499999999999988E-2</v>
      </c>
      <c r="C16" s="21">
        <v>4.7449999999999992E-2</v>
      </c>
      <c r="D16" s="21">
        <v>9.7470000000000015E-2</v>
      </c>
      <c r="E16" s="21">
        <v>8.5860000000000006E-2</v>
      </c>
      <c r="F16" s="21">
        <v>0.10860915892750911</v>
      </c>
      <c r="G16" s="21">
        <v>9.4900000000000012E-2</v>
      </c>
      <c r="H16" s="21">
        <v>0.11826999999999999</v>
      </c>
      <c r="I16" s="15">
        <v>8.727E-2</v>
      </c>
      <c r="J16" s="15">
        <v>0.10274999999999998</v>
      </c>
      <c r="K16" s="16">
        <v>7.0260000000000003E-2</v>
      </c>
      <c r="N16" s="22">
        <v>14</v>
      </c>
      <c r="O16" s="22">
        <f t="shared" ca="1" si="1"/>
        <v>-0.15547385656015306</v>
      </c>
      <c r="P16" s="22">
        <f t="shared" ca="1" si="0"/>
        <v>1.1702377665732482</v>
      </c>
      <c r="Q16" s="22">
        <f t="shared" ca="1" si="0"/>
        <v>-0.11730324516413373</v>
      </c>
      <c r="R16" s="22">
        <f t="shared" ca="1" si="0"/>
        <v>0.25058525551641025</v>
      </c>
      <c r="S16" s="22">
        <f t="shared" ca="1" si="0"/>
        <v>-0.79828893224459596</v>
      </c>
      <c r="T16" s="22">
        <f t="shared" ca="1" si="0"/>
        <v>1.1592079570743195</v>
      </c>
      <c r="U16" s="22">
        <f t="shared" ca="1" si="0"/>
        <v>1.3992457735628079</v>
      </c>
      <c r="V16" s="22">
        <f t="shared" ca="1" si="0"/>
        <v>7.658652820021114E-2</v>
      </c>
      <c r="W16" s="22">
        <f t="shared" ca="1" si="0"/>
        <v>1.5736722264070928</v>
      </c>
      <c r="X16" s="22">
        <f t="shared" ca="1" si="0"/>
        <v>-0.14870117677973541</v>
      </c>
      <c r="Z16" s="22">
        <f ca="1"/>
        <v>-7.603237502284632E-3</v>
      </c>
      <c r="AA16" s="22">
        <f ca="1"/>
        <v>2.3785358640827255E-2</v>
      </c>
      <c r="AB16" s="22">
        <f ca="1"/>
        <v>-0.16756067309535683</v>
      </c>
      <c r="AC16" s="22">
        <f ca="1"/>
        <v>-0.15103277559757974</v>
      </c>
      <c r="AD16" s="22">
        <f ca="1"/>
        <v>-0.15123096653357865</v>
      </c>
      <c r="AE16" s="22">
        <f ca="1"/>
        <v>-0.13900501707080365</v>
      </c>
      <c r="AF16" s="22">
        <f ca="1"/>
        <v>-0.18729687998519062</v>
      </c>
      <c r="AG16" s="22">
        <f ca="1"/>
        <v>-0.12741670096446961</v>
      </c>
      <c r="AH16" s="22">
        <f ca="1"/>
        <v>-0.1477807643420008</v>
      </c>
      <c r="AI16" s="22">
        <f ca="1"/>
        <v>-8.5901853367915337E-2</v>
      </c>
    </row>
    <row r="17" spans="1:35" x14ac:dyDescent="0.45">
      <c r="A17" s="33" t="s">
        <v>15</v>
      </c>
      <c r="B17" s="35">
        <v>4.8903639946327113E-2</v>
      </c>
      <c r="C17" s="35">
        <v>2.6920967664629002E-2</v>
      </c>
      <c r="D17" s="35">
        <v>0.19564550109828743</v>
      </c>
      <c r="E17" s="35">
        <v>0.18323736081923905</v>
      </c>
      <c r="F17" s="35">
        <v>0.21638215052707718</v>
      </c>
      <c r="G17" s="35">
        <v>0.17877043379709073</v>
      </c>
      <c r="H17" s="35">
        <v>0.21533635573214296</v>
      </c>
      <c r="I17" s="36">
        <v>0.18477085836245932</v>
      </c>
      <c r="J17" s="36">
        <v>0.1771169571215585</v>
      </c>
      <c r="K17" s="27">
        <v>0.2109598312475624</v>
      </c>
      <c r="N17" s="22">
        <v>15</v>
      </c>
      <c r="O17" s="22">
        <f t="shared" ca="1" si="1"/>
        <v>-0.31945524007902365</v>
      </c>
      <c r="P17" s="22">
        <f t="shared" ca="1" si="0"/>
        <v>0.96141981781848751</v>
      </c>
      <c r="Q17" s="22">
        <f t="shared" ca="1" si="0"/>
        <v>-0.67575511537536337</v>
      </c>
      <c r="R17" s="22">
        <f t="shared" ca="1" si="0"/>
        <v>1.7996730406367036</v>
      </c>
      <c r="S17" s="22">
        <f t="shared" ca="1" si="0"/>
        <v>-0.75443211609283278</v>
      </c>
      <c r="T17" s="22">
        <f t="shared" ca="1" si="0"/>
        <v>0.10596565456801958</v>
      </c>
      <c r="U17" s="22">
        <f t="shared" ca="1" si="0"/>
        <v>0.9064452244877671</v>
      </c>
      <c r="V17" s="22">
        <f t="shared" ca="1" si="0"/>
        <v>-0.63585124742719468</v>
      </c>
      <c r="W17" s="22">
        <f t="shared" ca="1" si="0"/>
        <v>0.53138567310977181</v>
      </c>
      <c r="X17" s="22">
        <f t="shared" ca="1" si="0"/>
        <v>-8.2967339723126601E-2</v>
      </c>
      <c r="Z17" s="22">
        <f ca="1"/>
        <v>-1.5622524039792057E-2</v>
      </c>
      <c r="AA17" s="22">
        <f ca="1"/>
        <v>1.6656472967602524E-2</v>
      </c>
      <c r="AB17" s="22">
        <f ca="1"/>
        <v>-0.2288938880519123</v>
      </c>
      <c r="AC17" s="22">
        <f ca="1"/>
        <v>-0.1446180319068241</v>
      </c>
      <c r="AD17" s="22">
        <f ca="1"/>
        <v>-7.579564016696351E-2</v>
      </c>
      <c r="AE17" s="22">
        <f ca="1"/>
        <v>-0.25115158159108664</v>
      </c>
      <c r="AF17" s="22">
        <f ca="1"/>
        <v>-0.30102503896043953</v>
      </c>
      <c r="AG17" s="22">
        <f ca="1"/>
        <v>-0.22066572834317677</v>
      </c>
      <c r="AH17" s="22">
        <f ca="1"/>
        <v>-0.28001114779085173</v>
      </c>
      <c r="AI17" s="22">
        <f ca="1"/>
        <v>-0.19796837501775838</v>
      </c>
    </row>
    <row r="18" spans="1:35" x14ac:dyDescent="0.45">
      <c r="N18" s="22">
        <v>16</v>
      </c>
      <c r="O18" s="22">
        <f t="shared" ca="1" si="1"/>
        <v>-0.39617816363949021</v>
      </c>
      <c r="P18" s="22">
        <f t="shared" ca="1" si="0"/>
        <v>0.83750880652203152</v>
      </c>
      <c r="Q18" s="22">
        <f t="shared" ca="1" si="0"/>
        <v>-0.37375834306688588</v>
      </c>
      <c r="R18" s="22">
        <f t="shared" ca="1" si="0"/>
        <v>0.57973858451405991</v>
      </c>
      <c r="S18" s="22">
        <f t="shared" ca="1" si="0"/>
        <v>-1.8297306836937293</v>
      </c>
      <c r="T18" s="22">
        <f t="shared" ca="1" si="0"/>
        <v>-0.42123934866925067</v>
      </c>
      <c r="U18" s="22">
        <f t="shared" ca="1" si="0"/>
        <v>0.64743976465258346</v>
      </c>
      <c r="V18" s="22">
        <f t="shared" ca="1" si="0"/>
        <v>-4.9939747301014879E-3</v>
      </c>
      <c r="W18" s="22">
        <f t="shared" ca="1" si="0"/>
        <v>0.33427940142646889</v>
      </c>
      <c r="X18" s="22">
        <f t="shared" ca="1" si="0"/>
        <v>-9.2124441211744151E-2</v>
      </c>
      <c r="Z18" s="22">
        <f ca="1"/>
        <v>-1.9374554269222691E-2</v>
      </c>
      <c r="AA18" s="22">
        <f ca="1"/>
        <v>1.2735920665378622E-2</v>
      </c>
      <c r="AB18" s="22">
        <f ca="1"/>
        <v>-0.17083905896601295</v>
      </c>
      <c r="AC18" s="22">
        <f ca="1"/>
        <v>-0.13650401929733089</v>
      </c>
      <c r="AD18" s="22">
        <f ca="1"/>
        <v>-0.21891878625507594</v>
      </c>
      <c r="AE18" s="22">
        <f ca="1"/>
        <v>-0.21173811870967568</v>
      </c>
      <c r="AF18" s="22">
        <f ca="1"/>
        <v>-0.22503228196404254</v>
      </c>
      <c r="AG18" s="22">
        <f ca="1"/>
        <v>-0.2136220885580547</v>
      </c>
      <c r="AH18" s="22">
        <f ca="1"/>
        <v>-0.2091998986911672</v>
      </c>
      <c r="AI18" s="22">
        <f ca="1"/>
        <v>-0.16287355523149583</v>
      </c>
    </row>
    <row r="19" spans="1:35" x14ac:dyDescent="0.45">
      <c r="N19" s="22">
        <v>17</v>
      </c>
      <c r="O19" s="22">
        <f t="shared" ca="1" si="1"/>
        <v>-1.5966377171364374</v>
      </c>
      <c r="P19" s="22">
        <f t="shared" ca="1" si="1"/>
        <v>-1.0684891039871476</v>
      </c>
      <c r="Q19" s="22">
        <f t="shared" ca="1" si="1"/>
        <v>-1.0011568054024458</v>
      </c>
      <c r="R19" s="22">
        <f t="shared" ca="1" si="1"/>
        <v>-6.284516851342381E-2</v>
      </c>
      <c r="S19" s="22">
        <f t="shared" ca="1" si="1"/>
        <v>0.34506268855059286</v>
      </c>
      <c r="T19" s="22">
        <f t="shared" ca="1" si="1"/>
        <v>-1.5628042303590182</v>
      </c>
      <c r="U19" s="22">
        <f t="shared" ca="1" si="1"/>
        <v>-0.95921696154589875</v>
      </c>
      <c r="V19" s="22">
        <f t="shared" ca="1" si="1"/>
        <v>-0.2273137026272779</v>
      </c>
      <c r="W19" s="22">
        <f t="shared" ca="1" si="1"/>
        <v>9.9949502805029247E-2</v>
      </c>
      <c r="X19" s="22">
        <f t="shared" ca="1" si="1"/>
        <v>1.2102771583727194</v>
      </c>
      <c r="Z19" s="22">
        <f ca="1"/>
        <v>-7.8081396043565995E-2</v>
      </c>
      <c r="AA19" s="22">
        <f ca="1"/>
        <v>-4.7875526354267936E-2</v>
      </c>
      <c r="AB19" s="22">
        <f ca="1"/>
        <v>-5.9884608042132886E-2</v>
      </c>
      <c r="AC19" s="22">
        <f ca="1"/>
        <v>-3.315076633654504E-2</v>
      </c>
      <c r="AD19" s="22">
        <f ca="1"/>
        <v>-0.21617553779943299</v>
      </c>
      <c r="AE19" s="22">
        <f ca="1"/>
        <v>-0.12867066989888162</v>
      </c>
      <c r="AF19" s="22">
        <f ca="1"/>
        <v>-0.11796860732199264</v>
      </c>
      <c r="AG19" s="22">
        <f ca="1"/>
        <v>-0.13214365860598445</v>
      </c>
      <c r="AH19" s="22">
        <f ca="1"/>
        <v>-0.12776498559398891</v>
      </c>
      <c r="AI19" s="22">
        <f ca="1"/>
        <v>-0.20133385982051577</v>
      </c>
    </row>
    <row r="20" spans="1:35" ht="14.65" thickBot="1" x14ac:dyDescent="0.5">
      <c r="N20" s="22">
        <v>18</v>
      </c>
      <c r="O20" s="22">
        <f t="shared" ca="1" si="1"/>
        <v>-4.9602850297846002E-2</v>
      </c>
      <c r="P20" s="22">
        <f t="shared" ca="1" si="1"/>
        <v>-0.11940799723796204</v>
      </c>
      <c r="Q20" s="22">
        <f t="shared" ca="1" si="1"/>
        <v>-1.227430726182748</v>
      </c>
      <c r="R20" s="22">
        <f t="shared" ca="1" si="1"/>
        <v>-0.41991482513801909</v>
      </c>
      <c r="S20" s="22">
        <f t="shared" ca="1" si="1"/>
        <v>-0.71921073604171648</v>
      </c>
      <c r="T20" s="22">
        <f t="shared" ca="1" si="1"/>
        <v>-0.83597073237419728</v>
      </c>
      <c r="U20" s="22">
        <f t="shared" ca="1" si="1"/>
        <v>7.1912172711739067E-2</v>
      </c>
      <c r="V20" s="22">
        <f t="shared" ca="1" si="1"/>
        <v>0.42191344419591137</v>
      </c>
      <c r="W20" s="22">
        <f t="shared" ca="1" si="1"/>
        <v>1.0276000895100983</v>
      </c>
      <c r="X20" s="22">
        <f t="shared" ca="1" si="1"/>
        <v>-0.29500397549135632</v>
      </c>
      <c r="Z20" s="22">
        <f ca="1"/>
        <v>-2.425759931277425E-3</v>
      </c>
      <c r="AA20" s="22">
        <f ca="1"/>
        <v>-3.4119878043134049E-3</v>
      </c>
      <c r="AB20" s="22">
        <f ca="1"/>
        <v>-0.16842670256652317</v>
      </c>
      <c r="AC20" s="22">
        <f ca="1"/>
        <v>-0.16259832390917348</v>
      </c>
      <c r="AD20" s="22">
        <f ca="1"/>
        <v>-0.21679967869656425</v>
      </c>
      <c r="AE20" s="22">
        <f ca="1"/>
        <v>-0.15672953489773403</v>
      </c>
      <c r="AF20" s="22">
        <f ca="1"/>
        <v>-0.15907799712927564</v>
      </c>
      <c r="AG20" s="22">
        <f ca="1"/>
        <v>-0.17748852505268087</v>
      </c>
      <c r="AH20" s="22">
        <f ca="1"/>
        <v>-0.13689475880749932</v>
      </c>
      <c r="AI20" s="22">
        <f ca="1"/>
        <v>-0.17872320193683222</v>
      </c>
    </row>
    <row r="21" spans="1:35" x14ac:dyDescent="0.45">
      <c r="A21" s="2" t="s">
        <v>11</v>
      </c>
      <c r="B21" s="3"/>
      <c r="C21" s="3"/>
      <c r="D21" s="3"/>
      <c r="E21" s="3"/>
      <c r="F21" s="3"/>
      <c r="G21" s="3"/>
      <c r="H21" s="3"/>
      <c r="I21" s="3"/>
      <c r="J21" s="3"/>
      <c r="K21" s="1"/>
      <c r="N21" s="22">
        <v>19</v>
      </c>
      <c r="O21" s="22">
        <f t="shared" ca="1" si="1"/>
        <v>0.29540631555119568</v>
      </c>
      <c r="P21" s="22">
        <f t="shared" ca="1" si="1"/>
        <v>0.76873091862814047</v>
      </c>
      <c r="Q21" s="22">
        <f t="shared" ca="1" si="1"/>
        <v>-0.17540525336899054</v>
      </c>
      <c r="R21" s="22">
        <f t="shared" ca="1" si="1"/>
        <v>-1.0562796261547574E-3</v>
      </c>
      <c r="S21" s="22">
        <f t="shared" ca="1" si="1"/>
        <v>-0.67537129952052488</v>
      </c>
      <c r="T21" s="22">
        <f t="shared" ca="1" si="1"/>
        <v>1.1125077614275805</v>
      </c>
      <c r="U21" s="22">
        <f t="shared" ca="1" si="1"/>
        <v>1.4743836901843097</v>
      </c>
      <c r="V21" s="22">
        <f t="shared" ca="1" si="1"/>
        <v>1.0396292585316853</v>
      </c>
      <c r="W21" s="22">
        <f t="shared" ca="1" si="1"/>
        <v>-1.7965612963653523</v>
      </c>
      <c r="X21" s="22">
        <f t="shared" ca="1" si="1"/>
        <v>-0.86135906213107194</v>
      </c>
      <c r="Z21" s="22">
        <f ca="1"/>
        <v>1.4446444093586763E-2</v>
      </c>
      <c r="AA21" s="22">
        <f ca="1"/>
        <v>2.1605836115493396E-2</v>
      </c>
      <c r="AB21" s="22">
        <f ca="1"/>
        <v>-0.11353021661222586</v>
      </c>
      <c r="AC21" s="22">
        <f ca="1"/>
        <v>-0.11086347523494414</v>
      </c>
      <c r="AD21" s="22">
        <f ca="1"/>
        <v>-8.402367396333324E-2</v>
      </c>
      <c r="AE21" s="22">
        <f ca="1"/>
        <v>-6.675073682151858E-2</v>
      </c>
      <c r="AF21" s="22">
        <f ca="1"/>
        <v>-9.8874145216755582E-2</v>
      </c>
      <c r="AG21" s="22">
        <f ca="1"/>
        <v>-5.5013936983851118E-2</v>
      </c>
      <c r="AH21" s="22">
        <f ca="1"/>
        <v>-7.6452754292285527E-2</v>
      </c>
      <c r="AI21" s="22">
        <f ca="1"/>
        <v>0.11448895050247312</v>
      </c>
    </row>
    <row r="22" spans="1:35" x14ac:dyDescent="0.45">
      <c r="A22" s="34"/>
      <c r="B22" s="28" t="s">
        <v>1</v>
      </c>
      <c r="C22" s="28" t="s">
        <v>2</v>
      </c>
      <c r="D22" s="28" t="s">
        <v>3</v>
      </c>
      <c r="E22" s="28" t="s">
        <v>4</v>
      </c>
      <c r="F22" s="31" t="s">
        <v>5</v>
      </c>
      <c r="G22" s="28" t="s">
        <v>6</v>
      </c>
      <c r="H22" s="28" t="s">
        <v>7</v>
      </c>
      <c r="I22" s="28" t="s">
        <v>8</v>
      </c>
      <c r="J22" s="28" t="s">
        <v>9</v>
      </c>
      <c r="K22" s="30" t="s">
        <v>10</v>
      </c>
      <c r="N22" s="22">
        <v>20</v>
      </c>
      <c r="O22" s="22">
        <f t="shared" ca="1" si="1"/>
        <v>1.4985999637273688</v>
      </c>
      <c r="P22" s="22">
        <f t="shared" ca="1" si="1"/>
        <v>-2.8256027919492024E-3</v>
      </c>
      <c r="Q22" s="22">
        <f t="shared" ca="1" si="1"/>
        <v>2.1144588900585051</v>
      </c>
      <c r="R22" s="22">
        <f t="shared" ca="1" si="1"/>
        <v>-0.21180425996190855</v>
      </c>
      <c r="S22" s="22">
        <f t="shared" ca="1" si="1"/>
        <v>-1.4034959489970333</v>
      </c>
      <c r="T22" s="22">
        <f t="shared" ca="1" si="1"/>
        <v>0.11034045367057474</v>
      </c>
      <c r="U22" s="22">
        <f t="shared" ca="1" si="1"/>
        <v>6.8485506176678188E-2</v>
      </c>
      <c r="V22" s="22">
        <f t="shared" ca="1" si="1"/>
        <v>-0.34294164329793536</v>
      </c>
      <c r="W22" s="22">
        <f t="shared" ca="1" si="1"/>
        <v>1.0731494092336256</v>
      </c>
      <c r="X22" s="22">
        <f t="shared" ca="1" si="1"/>
        <v>-0.6888111128082115</v>
      </c>
      <c r="Z22" s="22">
        <f ca="1"/>
        <v>7.3286993049702098E-2</v>
      </c>
      <c r="AA22" s="22">
        <f ca="1"/>
        <v>2.2484299183585171E-2</v>
      </c>
      <c r="AB22" s="22">
        <f ca="1"/>
        <v>0.35564728375320764</v>
      </c>
      <c r="AC22" s="22">
        <f ca="1"/>
        <v>0.29698340580263144</v>
      </c>
      <c r="AD22" s="22">
        <f ca="1"/>
        <v>0.32137551163425099</v>
      </c>
      <c r="AE22" s="22">
        <f ca="1"/>
        <v>0.32412032356446113</v>
      </c>
      <c r="AF22" s="22">
        <f ca="1"/>
        <v>0.4056535613136002</v>
      </c>
      <c r="AG22" s="22">
        <f ca="1"/>
        <v>0.30766998721686711</v>
      </c>
      <c r="AH22" s="22">
        <f ca="1"/>
        <v>0.34167671731824756</v>
      </c>
      <c r="AI22" s="22">
        <f ca="1"/>
        <v>0.31057324637930062</v>
      </c>
    </row>
    <row r="23" spans="1:35" x14ac:dyDescent="0.45">
      <c r="A23" s="29" t="s">
        <v>1</v>
      </c>
      <c r="B23" s="23">
        <f t="array" ref="B23:K32">Cholesky(B3:K12)</f>
        <v>4.8903639946327106E-2</v>
      </c>
      <c r="C23" s="23">
        <v>0</v>
      </c>
      <c r="D23" s="23">
        <v>0</v>
      </c>
      <c r="E23" s="23">
        <v>0</v>
      </c>
      <c r="F23" s="23">
        <v>0</v>
      </c>
      <c r="G23" s="23">
        <v>0</v>
      </c>
      <c r="H23" s="23">
        <v>0</v>
      </c>
      <c r="I23" s="23">
        <v>0</v>
      </c>
      <c r="J23" s="23">
        <v>0</v>
      </c>
      <c r="K23" s="24">
        <v>0</v>
      </c>
      <c r="N23" s="22">
        <v>21</v>
      </c>
      <c r="O23" s="22">
        <f t="shared" ca="1" si="1"/>
        <v>1.540837713754023</v>
      </c>
      <c r="P23" s="22">
        <f t="shared" ca="1" si="1"/>
        <v>-0.20159712275753788</v>
      </c>
      <c r="Q23" s="22">
        <f t="shared" ca="1" si="1"/>
        <v>1.5587299658597917</v>
      </c>
      <c r="R23" s="22">
        <f t="shared" ca="1" si="1"/>
        <v>-0.63369132762874381</v>
      </c>
      <c r="S23" s="22">
        <f t="shared" ca="1" si="1"/>
        <v>-0.40060984169602815</v>
      </c>
      <c r="T23" s="22">
        <f t="shared" ca="1" si="1"/>
        <v>-0.58276236184892605</v>
      </c>
      <c r="U23" s="22">
        <f t="shared" ca="1" si="1"/>
        <v>-0.15358883921052224</v>
      </c>
      <c r="V23" s="22">
        <f t="shared" ca="1" si="1"/>
        <v>-0.62707336883971854</v>
      </c>
      <c r="W23" s="22">
        <f t="shared" ca="1" si="1"/>
        <v>0.59749227561911311</v>
      </c>
      <c r="X23" s="22">
        <f t="shared" ca="1" si="1"/>
        <v>3.0065524675653958</v>
      </c>
      <c r="Z23" s="22">
        <f ca="1"/>
        <v>7.5352572769148571E-2</v>
      </c>
      <c r="AA23" s="22">
        <f ca="1"/>
        <v>1.8682387946102708E-2</v>
      </c>
      <c r="AB23" s="22">
        <f ca="1"/>
        <v>0.29923258839636774</v>
      </c>
      <c r="AC23" s="22">
        <f ca="1"/>
        <v>0.23356959679107264</v>
      </c>
      <c r="AD23" s="22">
        <f ca="1"/>
        <v>0.30430433327049661</v>
      </c>
      <c r="AE23" s="22">
        <f ca="1"/>
        <v>0.28562077394872526</v>
      </c>
      <c r="AF23" s="22">
        <f ca="1"/>
        <v>0.38435563707763321</v>
      </c>
      <c r="AG23" s="22">
        <f ca="1"/>
        <v>0.25622182681611927</v>
      </c>
      <c r="AH23" s="22">
        <f ca="1"/>
        <v>0.31452459794801285</v>
      </c>
      <c r="AI23" s="22">
        <f ca="1"/>
        <v>0.26310819112188066</v>
      </c>
    </row>
    <row r="24" spans="1:35" x14ac:dyDescent="0.45">
      <c r="A24" s="29" t="s">
        <v>2</v>
      </c>
      <c r="B24" s="23">
        <v>1.5045628521875718E-2</v>
      </c>
      <c r="C24" s="23">
        <v>2.2324147517469053E-2</v>
      </c>
      <c r="D24" s="23">
        <v>0</v>
      </c>
      <c r="E24" s="23">
        <v>0</v>
      </c>
      <c r="F24" s="23">
        <v>0</v>
      </c>
      <c r="G24" s="23">
        <v>0</v>
      </c>
      <c r="H24" s="23">
        <v>0</v>
      </c>
      <c r="I24" s="23">
        <v>0</v>
      </c>
      <c r="J24" s="23">
        <v>0</v>
      </c>
      <c r="K24" s="24">
        <v>0</v>
      </c>
      <c r="N24" s="22">
        <v>22</v>
      </c>
      <c r="O24" s="22">
        <f t="shared" ca="1" si="1"/>
        <v>1.6450820873773959</v>
      </c>
      <c r="P24" s="22">
        <f t="shared" ca="1" si="1"/>
        <v>-0.4416493486557051</v>
      </c>
      <c r="Q24" s="22">
        <f t="shared" ca="1" si="1"/>
        <v>-2.6881481188527587</v>
      </c>
      <c r="R24" s="22">
        <f t="shared" ca="1" si="1"/>
        <v>-0.46432114748039932</v>
      </c>
      <c r="S24" s="22">
        <f t="shared" ca="1" si="1"/>
        <v>1.6401007656301216</v>
      </c>
      <c r="T24" s="22">
        <f t="shared" ca="1" si="1"/>
        <v>0.72129959241668151</v>
      </c>
      <c r="U24" s="22">
        <f t="shared" ca="1" si="1"/>
        <v>1.6612732280823987</v>
      </c>
      <c r="V24" s="22">
        <f t="shared" ca="1" si="1"/>
        <v>-1.7336761881049367</v>
      </c>
      <c r="W24" s="22">
        <f t="shared" ca="1" si="1"/>
        <v>0.34728399512973129</v>
      </c>
      <c r="X24" s="22">
        <f t="shared" ca="1" si="1"/>
        <v>-0.7741981230249636</v>
      </c>
      <c r="Z24" s="22">
        <f ca="1"/>
        <v>8.0450502083256395E-2</v>
      </c>
      <c r="AA24" s="22">
        <f ca="1"/>
        <v>1.4891848764288108E-2</v>
      </c>
      <c r="AB24" s="22">
        <f ca="1"/>
        <v>-0.29737487736787782</v>
      </c>
      <c r="AC24" s="22">
        <f ca="1"/>
        <v>-0.28503652027873388</v>
      </c>
      <c r="AD24" s="22">
        <f ca="1"/>
        <v>3.2785755442961417E-3</v>
      </c>
      <c r="AE24" s="22">
        <f ca="1"/>
        <v>-0.10825073812185851</v>
      </c>
      <c r="AF24" s="22">
        <f ca="1"/>
        <v>-0.15592885957479324</v>
      </c>
      <c r="AG24" s="22">
        <f ca="1"/>
        <v>-0.12265789227186612</v>
      </c>
      <c r="AH24" s="22">
        <f ca="1"/>
        <v>-9.4014437332077802E-2</v>
      </c>
      <c r="AI24" s="22">
        <f ca="1"/>
        <v>-2.3029132170451893E-2</v>
      </c>
    </row>
    <row r="25" spans="1:35" x14ac:dyDescent="0.45">
      <c r="A25" s="29" t="s">
        <v>3</v>
      </c>
      <c r="B25" s="23">
        <v>2.7964748666989787E-2</v>
      </c>
      <c r="C25" s="23">
        <v>-0.12461330126824645</v>
      </c>
      <c r="D25" s="23">
        <v>0.14821153827897929</v>
      </c>
      <c r="E25" s="23">
        <v>0</v>
      </c>
      <c r="F25" s="23">
        <v>0</v>
      </c>
      <c r="G25" s="23">
        <v>0</v>
      </c>
      <c r="H25" s="23">
        <v>0</v>
      </c>
      <c r="I25" s="23">
        <v>0</v>
      </c>
      <c r="J25" s="23">
        <v>0</v>
      </c>
      <c r="K25" s="24">
        <v>0</v>
      </c>
      <c r="N25" s="22">
        <v>23</v>
      </c>
      <c r="O25" s="22">
        <f t="shared" ca="1" si="1"/>
        <v>-0.69362717203574242</v>
      </c>
      <c r="P25" s="22">
        <f t="shared" ca="1" si="1"/>
        <v>-0.20575367598301175</v>
      </c>
      <c r="Q25" s="22">
        <f t="shared" ca="1" si="1"/>
        <v>0.21366644193247214</v>
      </c>
      <c r="R25" s="22">
        <f t="shared" ca="1" si="1"/>
        <v>-0.72067199367381418</v>
      </c>
      <c r="S25" s="22">
        <f t="shared" ca="1" si="1"/>
        <v>0.2546045665250708</v>
      </c>
      <c r="T25" s="22">
        <f t="shared" ca="1" si="1"/>
        <v>-0.414146296873727</v>
      </c>
      <c r="U25" s="22">
        <f t="shared" ca="1" si="1"/>
        <v>-4.1798424445302018E-2</v>
      </c>
      <c r="V25" s="22">
        <f t="shared" ca="1" si="1"/>
        <v>0.63255888668721028</v>
      </c>
      <c r="W25" s="22">
        <f t="shared" ca="1" si="1"/>
        <v>1.5117198735593178</v>
      </c>
      <c r="X25" s="22">
        <f t="shared" ca="1" si="1"/>
        <v>0.34396975628828158</v>
      </c>
      <c r="Z25" s="22">
        <f ca="1"/>
        <v>-3.3920893478225037E-2</v>
      </c>
      <c r="AA25" s="22">
        <f ca="1"/>
        <v>-1.5029332178035246E-2</v>
      </c>
      <c r="AB25" s="22">
        <f ca="1"/>
        <v>3.7910367315153681E-2</v>
      </c>
      <c r="AC25" s="22">
        <f ca="1"/>
        <v>1.3528653180239835E-2</v>
      </c>
      <c r="AD25" s="22">
        <f ca="1"/>
        <v>-9.7604778092471478E-2</v>
      </c>
      <c r="AE25" s="22">
        <f ca="1"/>
        <v>1.1946142848007895E-2</v>
      </c>
      <c r="AF25" s="22">
        <f ca="1"/>
        <v>3.9129718816090189E-2</v>
      </c>
      <c r="AG25" s="22">
        <f ca="1"/>
        <v>5.3973382498166481E-3</v>
      </c>
      <c r="AH25" s="22">
        <f ca="1"/>
        <v>1.8419956187334812E-2</v>
      </c>
      <c r="AI25" s="22">
        <f ca="1"/>
        <v>-3.134584002748915E-2</v>
      </c>
    </row>
    <row r="26" spans="1:35" x14ac:dyDescent="0.45">
      <c r="A26" s="29" t="s">
        <v>4</v>
      </c>
      <c r="B26" s="23">
        <v>1.8466294144794528E-2</v>
      </c>
      <c r="C26" s="23">
        <v>-0.12139307894098286</v>
      </c>
      <c r="D26" s="23">
        <v>0.13090213105378082</v>
      </c>
      <c r="E26" s="23">
        <v>3.6922606237439627E-2</v>
      </c>
      <c r="F26" s="23">
        <v>0</v>
      </c>
      <c r="G26" s="23">
        <v>0</v>
      </c>
      <c r="H26" s="23">
        <v>0</v>
      </c>
      <c r="I26" s="23">
        <v>0</v>
      </c>
      <c r="J26" s="23">
        <v>0</v>
      </c>
      <c r="K26" s="24">
        <v>0</v>
      </c>
      <c r="N26" s="22">
        <v>24</v>
      </c>
      <c r="O26" s="22">
        <f t="shared" ca="1" si="1"/>
        <v>0.65367677032154659</v>
      </c>
      <c r="P26" s="22">
        <f t="shared" ca="1" si="1"/>
        <v>-1.2932976118364647</v>
      </c>
      <c r="Q26" s="22">
        <f t="shared" ca="1" si="1"/>
        <v>-0.20981493543867549</v>
      </c>
      <c r="R26" s="22">
        <f t="shared" ca="1" si="1"/>
        <v>1.2429219387165804</v>
      </c>
      <c r="S26" s="22">
        <f t="shared" ca="1" si="1"/>
        <v>-1.2029601385498703</v>
      </c>
      <c r="T26" s="22">
        <f t="shared" ca="1" si="1"/>
        <v>0.23364784821451978</v>
      </c>
      <c r="U26" s="22">
        <f t="shared" ca="1" si="1"/>
        <v>1.5258775000555627</v>
      </c>
      <c r="V26" s="22">
        <f t="shared" ca="1" si="1"/>
        <v>0.36713034676150091</v>
      </c>
      <c r="W26" s="22">
        <f t="shared" ca="1" si="1"/>
        <v>0.8105710384160113</v>
      </c>
      <c r="X26" s="22">
        <f t="shared" ca="1" si="1"/>
        <v>-0.55007053834893604</v>
      </c>
      <c r="Z26" s="22">
        <f ca="1"/>
        <v>3.1967173417082877E-2</v>
      </c>
      <c r="AA26" s="22">
        <f ca="1"/>
        <v>-1.9036788810990204E-2</v>
      </c>
      <c r="AB26" s="22">
        <f ca="1"/>
        <v>0.14834499718950186</v>
      </c>
      <c r="AC26" s="22">
        <f ca="1"/>
        <v>0.18749506175549888</v>
      </c>
      <c r="AD26" s="22">
        <f ca="1"/>
        <v>0.19824145429595097</v>
      </c>
      <c r="AE26" s="22">
        <f ca="1"/>
        <v>0.13301079947922989</v>
      </c>
      <c r="AF26" s="22">
        <f ca="1"/>
        <v>0.15658978351744246</v>
      </c>
      <c r="AG26" s="22">
        <f ca="1"/>
        <v>0.16982820343623134</v>
      </c>
      <c r="AH26" s="22">
        <f ca="1"/>
        <v>9.87130263891383E-2</v>
      </c>
      <c r="AI26" s="22">
        <f ca="1"/>
        <v>0.26740284397098624</v>
      </c>
    </row>
    <row r="27" spans="1:35" x14ac:dyDescent="0.45">
      <c r="A27" s="31" t="s">
        <v>5</v>
      </c>
      <c r="B27" s="23">
        <v>0.12737565642963386</v>
      </c>
      <c r="C27" s="23">
        <v>-7.8075991659636676E-2</v>
      </c>
      <c r="D27" s="23">
        <v>0.11184404745956969</v>
      </c>
      <c r="E27" s="23">
        <v>9.0218474330481677E-2</v>
      </c>
      <c r="F27" s="23">
        <v>6.206732376660553E-2</v>
      </c>
      <c r="G27" s="23">
        <v>0</v>
      </c>
      <c r="H27" s="23">
        <v>0</v>
      </c>
      <c r="I27" s="23">
        <v>0</v>
      </c>
      <c r="J27" s="23">
        <v>0</v>
      </c>
      <c r="K27" s="24">
        <v>0</v>
      </c>
      <c r="N27" s="22">
        <v>25</v>
      </c>
      <c r="O27" s="22">
        <f t="shared" ca="1" si="1"/>
        <v>-0.63230812283646798</v>
      </c>
      <c r="P27" s="22">
        <f t="shared" ca="1" si="1"/>
        <v>0.38394702742314341</v>
      </c>
      <c r="Q27" s="22">
        <f t="shared" ca="1" si="1"/>
        <v>0.61424985393581688</v>
      </c>
      <c r="R27" s="22">
        <f t="shared" ca="1" si="1"/>
        <v>-0.17733155549890761</v>
      </c>
      <c r="S27" s="22">
        <f t="shared" ca="1" si="1"/>
        <v>-0.15248498763075569</v>
      </c>
      <c r="T27" s="22">
        <f t="shared" ca="1" si="1"/>
        <v>-0.19580529798758972</v>
      </c>
      <c r="U27" s="22">
        <f t="shared" ca="1" si="1"/>
        <v>0.36827671206443408</v>
      </c>
      <c r="V27" s="22">
        <f t="shared" ca="1" si="1"/>
        <v>-0.93801553400318849</v>
      </c>
      <c r="W27" s="22">
        <f t="shared" ca="1" si="1"/>
        <v>0.87480478781156146</v>
      </c>
      <c r="X27" s="22">
        <f t="shared" ca="1" si="1"/>
        <v>1.3074705417346462</v>
      </c>
      <c r="Z27" s="22">
        <f ca="1"/>
        <v>-3.0922168774332601E-2</v>
      </c>
      <c r="AA27" s="22">
        <f ca="1"/>
        <v>-9.4218304847406946E-4</v>
      </c>
      <c r="AB27" s="22">
        <f ca="1"/>
        <v>2.5511671404919986E-2</v>
      </c>
      <c r="AC27" s="22">
        <f ca="1"/>
        <v>1.5574172086938742E-2</v>
      </c>
      <c r="AD27" s="22">
        <f ca="1"/>
        <v>-6.7280434791872595E-2</v>
      </c>
      <c r="AE27" s="22">
        <f ca="1"/>
        <v>-1.6145590987000726E-2</v>
      </c>
      <c r="AF27" s="22">
        <f ca="1"/>
        <v>7.7985105261833615E-3</v>
      </c>
      <c r="AG27" s="22">
        <f ca="1"/>
        <v>-2.1143078192660918E-2</v>
      </c>
      <c r="AH27" s="22">
        <f ca="1"/>
        <v>-1.0881347575408748E-2</v>
      </c>
      <c r="AI27" s="22">
        <f ca="1"/>
        <v>-2.0170917716299377E-2</v>
      </c>
    </row>
    <row r="28" spans="1:35" x14ac:dyDescent="0.45">
      <c r="A28" s="29" t="s">
        <v>6</v>
      </c>
      <c r="B28" s="23">
        <v>5.9995022931219555E-2</v>
      </c>
      <c r="C28" s="23">
        <v>-0.11651749864800412</v>
      </c>
      <c r="D28" s="23">
        <v>0.11536345482244371</v>
      </c>
      <c r="E28" s="23">
        <v>-1.9869798175166556E-2</v>
      </c>
      <c r="F28" s="23">
        <v>1.2545840643701232E-2</v>
      </c>
      <c r="G28" s="23">
        <v>3.0367812347052471E-2</v>
      </c>
      <c r="H28" s="23">
        <v>0</v>
      </c>
      <c r="I28" s="23">
        <v>0</v>
      </c>
      <c r="J28" s="23">
        <v>0</v>
      </c>
      <c r="K28" s="24">
        <v>0</v>
      </c>
      <c r="N28" s="22">
        <v>26</v>
      </c>
      <c r="O28" s="22">
        <f t="shared" ca="1" si="1"/>
        <v>-0.26473066233082643</v>
      </c>
      <c r="P28" s="22">
        <f t="shared" ca="1" si="1"/>
        <v>0.44488885463861649</v>
      </c>
      <c r="Q28" s="22">
        <f t="shared" ca="1" si="1"/>
        <v>0.45106490667334254</v>
      </c>
      <c r="R28" s="22">
        <f t="shared" ca="1" si="1"/>
        <v>-0.32867170011013264</v>
      </c>
      <c r="S28" s="22">
        <f t="shared" ca="1" si="1"/>
        <v>1.3136156808226638</v>
      </c>
      <c r="T28" s="22">
        <f t="shared" ca="1" si="1"/>
        <v>-1.0312736594030063</v>
      </c>
      <c r="U28" s="22">
        <f t="shared" ca="1" si="1"/>
        <v>0.31129405324717019</v>
      </c>
      <c r="V28" s="22">
        <f t="shared" ca="1" si="1"/>
        <v>-0.98449050770418234</v>
      </c>
      <c r="W28" s="22">
        <f t="shared" ca="1" si="1"/>
        <v>0.85793611902988487</v>
      </c>
      <c r="X28" s="22">
        <f t="shared" ca="1" si="1"/>
        <v>0.32887641045406379</v>
      </c>
      <c r="Z28" s="22">
        <f ca="1"/>
        <v>-1.2946292993379436E-2</v>
      </c>
      <c r="AA28" s="22">
        <f ca="1"/>
        <v>5.9487252160505891E-3</v>
      </c>
      <c r="AB28" s="22">
        <f ca="1"/>
        <v>4.0108283712260162E-3</v>
      </c>
      <c r="AC28" s="22">
        <f ca="1"/>
        <v>-1.1985080368297311E-2</v>
      </c>
      <c r="AD28" s="22">
        <f ca="1"/>
        <v>3.387389486061744E-2</v>
      </c>
      <c r="AE28" s="22">
        <f ca="1"/>
        <v>-2.3989924314465186E-2</v>
      </c>
      <c r="AF28" s="22">
        <f ca="1"/>
        <v>3.7835762288005462E-2</v>
      </c>
      <c r="AG28" s="22">
        <f ca="1"/>
        <v>-3.4764960543837174E-2</v>
      </c>
      <c r="AH28" s="22">
        <f ca="1"/>
        <v>-1.4096664332340065E-2</v>
      </c>
      <c r="AI28" s="22">
        <f ca="1"/>
        <v>-3.3417020753509559E-2</v>
      </c>
    </row>
    <row r="29" spans="1:35" x14ac:dyDescent="0.45">
      <c r="A29" s="29" t="s">
        <v>7</v>
      </c>
      <c r="B29" s="23">
        <v>7.1544838049683368E-2</v>
      </c>
      <c r="C29" s="23">
        <v>-0.13199655456708662</v>
      </c>
      <c r="D29" s="23">
        <v>0.14862009746784549</v>
      </c>
      <c r="E29" s="23">
        <v>-3.0968855802745682E-2</v>
      </c>
      <c r="F29" s="23">
        <v>1.6398753635214574E-2</v>
      </c>
      <c r="G29" s="23">
        <v>-1.0125771607015015E-2</v>
      </c>
      <c r="H29" s="23">
        <v>2.0237046680621734E-2</v>
      </c>
      <c r="I29" s="23">
        <v>0</v>
      </c>
      <c r="J29" s="23">
        <v>0</v>
      </c>
      <c r="K29" s="24">
        <v>0</v>
      </c>
      <c r="N29" s="22">
        <v>27</v>
      </c>
      <c r="O29" s="22">
        <f t="shared" ca="1" si="1"/>
        <v>-1.1830108172351277</v>
      </c>
      <c r="P29" s="22">
        <f t="shared" ca="1" si="1"/>
        <v>3.8636816749546006E-2</v>
      </c>
      <c r="Q29" s="22">
        <f t="shared" ca="1" si="1"/>
        <v>0.63837349004807786</v>
      </c>
      <c r="R29" s="22">
        <f t="shared" ca="1" si="1"/>
        <v>-2.6184779578762711</v>
      </c>
      <c r="S29" s="22">
        <f t="shared" ca="1" si="1"/>
        <v>0.12613717880841904</v>
      </c>
      <c r="T29" s="22">
        <f t="shared" ca="1" si="1"/>
        <v>0.19268912992027978</v>
      </c>
      <c r="U29" s="22">
        <f t="shared" ca="1" si="1"/>
        <v>1.4581854716966314</v>
      </c>
      <c r="V29" s="22">
        <f t="shared" ca="1" si="1"/>
        <v>-1.1578673592753563</v>
      </c>
      <c r="W29" s="22">
        <f t="shared" ca="1" si="1"/>
        <v>-0.35554650765922369</v>
      </c>
      <c r="X29" s="22">
        <f t="shared" ca="1" si="1"/>
        <v>0.83243542848535423</v>
      </c>
      <c r="Z29" s="22">
        <f ca="1"/>
        <v>-5.7853535058676867E-2</v>
      </c>
      <c r="AA29" s="22">
        <f ca="1"/>
        <v>-1.6936607296758055E-2</v>
      </c>
      <c r="AB29" s="22">
        <f ca="1"/>
        <v>5.6717055496578551E-2</v>
      </c>
      <c r="AC29" s="22">
        <f ca="1"/>
        <v>-3.9652648197791213E-2</v>
      </c>
      <c r="AD29" s="22">
        <f ca="1"/>
        <v>-0.3107112015845902</v>
      </c>
      <c r="AE29" s="22">
        <f ca="1"/>
        <v>5.7631017760162606E-2</v>
      </c>
      <c r="AF29" s="22">
        <f ca="1"/>
        <v>0.11585488645000372</v>
      </c>
      <c r="AG29" s="22">
        <f ca="1"/>
        <v>1.6374719870877737E-2</v>
      </c>
      <c r="AH29" s="22">
        <f ca="1"/>
        <v>9.8613879823927983E-2</v>
      </c>
      <c r="AI29" s="22">
        <f ca="1"/>
        <v>0.17135188438907048</v>
      </c>
    </row>
    <row r="30" spans="1:35" x14ac:dyDescent="0.45">
      <c r="A30" s="29" t="s">
        <v>8</v>
      </c>
      <c r="B30" s="23">
        <v>5.2469059620432461E-2</v>
      </c>
      <c r="C30" s="23">
        <v>-0.12355488503123307</v>
      </c>
      <c r="D30" s="23">
        <v>0.11932145856331695</v>
      </c>
      <c r="E30" s="23">
        <v>1.9032132393985868E-3</v>
      </c>
      <c r="F30" s="23">
        <v>1.842797730871313E-2</v>
      </c>
      <c r="G30" s="23">
        <v>3.8315822817495286E-2</v>
      </c>
      <c r="H30" s="23">
        <v>6.2164480004500405E-3</v>
      </c>
      <c r="I30" s="23">
        <v>5.8214020252740943E-3</v>
      </c>
      <c r="J30" s="23">
        <v>0</v>
      </c>
      <c r="K30" s="24">
        <v>0</v>
      </c>
      <c r="N30" s="22">
        <v>28</v>
      </c>
      <c r="O30" s="22">
        <f t="shared" ca="1" si="1"/>
        <v>2.9881872562480885</v>
      </c>
      <c r="P30" s="22">
        <f t="shared" ca="1" si="1"/>
        <v>-0.6257378809129055</v>
      </c>
      <c r="Q30" s="22">
        <f t="shared" ca="1" si="1"/>
        <v>1.5122082042511806</v>
      </c>
      <c r="R30" s="22">
        <f t="shared" ca="1" si="1"/>
        <v>1.2871235617300918</v>
      </c>
      <c r="S30" s="22">
        <f t="shared" ca="1" si="1"/>
        <v>-1.147508908307167</v>
      </c>
      <c r="T30" s="22">
        <f t="shared" ca="1" si="1"/>
        <v>7.7566827069823513E-2</v>
      </c>
      <c r="U30" s="22">
        <f t="shared" ca="1" si="1"/>
        <v>7.1223116497773187E-2</v>
      </c>
      <c r="V30" s="22">
        <f t="shared" ca="1" si="1"/>
        <v>0.81812124639372696</v>
      </c>
      <c r="W30" s="22">
        <f t="shared" ca="1" si="1"/>
        <v>0.45869894096239316</v>
      </c>
      <c r="X30" s="22">
        <f t="shared" ca="1" si="1"/>
        <v>1.0826507593939358</v>
      </c>
      <c r="Z30" s="22">
        <f ca="1"/>
        <v>0.14613323367175962</v>
      </c>
      <c r="AA30" s="22">
        <f ca="1"/>
        <v>3.09900906505436E-2</v>
      </c>
      <c r="AB30" s="22">
        <f ca="1"/>
        <v>0.38566587281019399</v>
      </c>
      <c r="AC30" s="22">
        <f ca="1"/>
        <v>0.37661622578980897</v>
      </c>
      <c r="AD30" s="22">
        <f ca="1"/>
        <v>0.64350842211270065</v>
      </c>
      <c r="AE30" s="22">
        <f ca="1"/>
        <v>0.38902352405780127</v>
      </c>
      <c r="AF30" s="22">
        <f ca="1"/>
        <v>0.46310661005353271</v>
      </c>
      <c r="AG30" s="22">
        <f ca="1"/>
        <v>0.40402004258657725</v>
      </c>
      <c r="AH30" s="22">
        <f ca="1"/>
        <v>0.37580033790904105</v>
      </c>
      <c r="AI30" s="22">
        <f ca="1"/>
        <v>0.41857043631494906</v>
      </c>
    </row>
    <row r="31" spans="1:35" x14ac:dyDescent="0.45">
      <c r="A31" s="29" t="s">
        <v>9</v>
      </c>
      <c r="B31" s="23">
        <v>6.7438804220291901E-2</v>
      </c>
      <c r="C31" s="23">
        <v>-0.10948716829367748</v>
      </c>
      <c r="D31" s="23">
        <v>0.11181773696184935</v>
      </c>
      <c r="E31" s="23">
        <v>-4.1067938361940809E-2</v>
      </c>
      <c r="F31" s="23">
        <v>6.5552742332711557E-3</v>
      </c>
      <c r="G31" s="23">
        <v>2.3302498173246051E-2</v>
      </c>
      <c r="H31" s="23">
        <v>-5.3923574886170413E-3</v>
      </c>
      <c r="I31" s="23">
        <v>-5.4840019269355627E-3</v>
      </c>
      <c r="J31" s="23">
        <v>2.6919508241096066E-4</v>
      </c>
      <c r="K31" s="24">
        <v>0</v>
      </c>
      <c r="N31" s="22">
        <v>29</v>
      </c>
      <c r="O31" s="22">
        <f t="shared" ca="1" si="1"/>
        <v>-1.146773621829053</v>
      </c>
      <c r="P31" s="22">
        <f t="shared" ca="1" si="1"/>
        <v>0.76141633400564313</v>
      </c>
      <c r="Q31" s="22">
        <f t="shared" ca="1" si="1"/>
        <v>-1.5555077758806841</v>
      </c>
      <c r="R31" s="22">
        <f t="shared" ca="1" si="1"/>
        <v>-0.85496623890667123</v>
      </c>
      <c r="S31" s="22">
        <f t="shared" ca="1" si="1"/>
        <v>-4.0466192895769443E-2</v>
      </c>
      <c r="T31" s="22">
        <f t="shared" ca="1" si="1"/>
        <v>-0.75890616109421871</v>
      </c>
      <c r="U31" s="22">
        <f t="shared" ca="1" si="1"/>
        <v>-1.2199559393023369</v>
      </c>
      <c r="V31" s="22">
        <f t="shared" ca="1" si="1"/>
        <v>-0.43895180579873594</v>
      </c>
      <c r="W31" s="22">
        <f t="shared" ca="1" si="1"/>
        <v>-1.2529819666768345</v>
      </c>
      <c r="X31" s="22">
        <f t="shared" ca="1" si="1"/>
        <v>1.3173440698792149</v>
      </c>
      <c r="Z31" s="22">
        <f ca="1"/>
        <v>-5.6081404301873486E-2</v>
      </c>
      <c r="AA31" s="22">
        <f ca="1"/>
        <v>-2.5595935017345278E-4</v>
      </c>
      <c r="AB31" s="22">
        <f ca="1"/>
        <v>-0.357496039400582</v>
      </c>
      <c r="AC31" s="22">
        <f ca="1"/>
        <v>-0.34879419667805167</v>
      </c>
      <c r="AD31" s="22">
        <f ca="1"/>
        <v>-0.45913904168362263</v>
      </c>
      <c r="AE31" s="22">
        <f ca="1"/>
        <v>-0.34353378311839566</v>
      </c>
      <c r="AF31" s="22">
        <f ca="1"/>
        <v>-0.40491984678913706</v>
      </c>
      <c r="AG31" s="22">
        <f ca="1"/>
        <v>-0.3814424125124809</v>
      </c>
      <c r="AH31" s="22">
        <f ca="1"/>
        <v>-0.30882534050897203</v>
      </c>
      <c r="AI31" s="22">
        <f ca="1"/>
        <v>-0.43268464330668943</v>
      </c>
    </row>
    <row r="32" spans="1:35" ht="14.65" thickBot="1" x14ac:dyDescent="0.5">
      <c r="A32" s="32" t="s">
        <v>10</v>
      </c>
      <c r="B32" s="25">
        <v>5.9951774616731707E-2</v>
      </c>
      <c r="C32" s="25">
        <v>-0.1273518788516268</v>
      </c>
      <c r="D32" s="25">
        <v>0.1228114805071804</v>
      </c>
      <c r="E32" s="25">
        <v>-1.3817711032420419E-2</v>
      </c>
      <c r="F32" s="25">
        <v>8.7113647632277354E-3</v>
      </c>
      <c r="G32" s="25">
        <v>2.0796405129092102E-2</v>
      </c>
      <c r="H32" s="25">
        <v>8.8042579368660903E-2</v>
      </c>
      <c r="I32" s="25">
        <v>1.0676390035461317E-2</v>
      </c>
      <c r="J32" s="25">
        <v>-3.2309220991655584E-2</v>
      </c>
      <c r="K32" s="26">
        <v>1.1085790451388702E-6</v>
      </c>
      <c r="N32" s="22">
        <v>30</v>
      </c>
      <c r="O32" s="22">
        <f t="shared" ca="1" si="1"/>
        <v>-1.0763718196527758</v>
      </c>
      <c r="P32" s="22">
        <f t="shared" ca="1" si="1"/>
        <v>-0.90782798978198165</v>
      </c>
      <c r="Q32" s="22">
        <f t="shared" ca="1" si="1"/>
        <v>2.5525183741640946E-2</v>
      </c>
      <c r="R32" s="22">
        <f t="shared" ca="1" si="1"/>
        <v>0.30428461440566562</v>
      </c>
      <c r="S32" s="22">
        <f t="shared" ca="1" si="1"/>
        <v>1.3554347627673056</v>
      </c>
      <c r="T32" s="22">
        <f t="shared" ca="1" si="1"/>
        <v>1.5314974089485791</v>
      </c>
      <c r="U32" s="22">
        <f t="shared" ca="1" si="1"/>
        <v>-1.1196641394261502</v>
      </c>
      <c r="V32" s="22">
        <f t="shared" ca="1" si="1"/>
        <v>-0.4660552847593179</v>
      </c>
      <c r="W32" s="22">
        <f t="shared" ca="1" si="1"/>
        <v>-1.8448713902630578</v>
      </c>
      <c r="X32" s="22">
        <f t="shared" ca="1" si="1"/>
        <v>-0.52605818102635871</v>
      </c>
      <c r="Z32" s="22">
        <f ca="1"/>
        <v>-5.2638499916672285E-2</v>
      </c>
      <c r="AA32" s="22">
        <f ca="1"/>
        <v>-3.6461176514291413E-2</v>
      </c>
      <c r="AB32" s="22">
        <f ca="1"/>
        <v>8.6810102128830502E-2</v>
      </c>
      <c r="AC32" s="22">
        <f ca="1"/>
        <v>0.10490371814669365</v>
      </c>
      <c r="AD32" s="22">
        <f ca="1"/>
        <v>4.8211145268893835E-2</v>
      </c>
      <c r="AE32" s="22">
        <f ca="1"/>
        <v>0.10161278853637909</v>
      </c>
      <c r="AF32" s="22">
        <f ca="1"/>
        <v>2.1252680528822083E-2</v>
      </c>
      <c r="AG32" s="22">
        <f ca="1"/>
        <v>0.13330026172650958</v>
      </c>
      <c r="AH32" s="22">
        <f ca="1"/>
        <v>6.9833923208108245E-2</v>
      </c>
      <c r="AI32" s="22">
        <f ca="1"/>
        <v>4.9722662783407832E-2</v>
      </c>
    </row>
  </sheetData>
  <mergeCells count="4">
    <mergeCell ref="A1:K1"/>
    <mergeCell ref="A21:K21"/>
    <mergeCell ref="O1:X1"/>
    <mergeCell ref="Z1:A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Zhiguo Wang</dc:creator>
  <cp:lastModifiedBy>Zhiguo Wang</cp:lastModifiedBy>
  <dcterms:created xsi:type="dcterms:W3CDTF">2015-06-05T18:17:20Z</dcterms:created>
  <dcterms:modified xsi:type="dcterms:W3CDTF">2020-02-18T14:57:06Z</dcterms:modified>
</cp:coreProperties>
</file>