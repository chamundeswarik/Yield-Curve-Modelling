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UConn\Spring 2020\5661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definedNames>
    <definedName name="_xlnm.Print_Area" localSheetId="0">Sheet1!$A$1:$Q$27</definedName>
    <definedName name="solver_adj" localSheetId="0" hidden="1">Sheet1!$F$15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Sheet1!$F$23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F8" i="1"/>
  <c r="F6" i="1"/>
  <c r="F22" i="1" l="1"/>
  <c r="F33" i="1"/>
  <c r="F34" i="1"/>
  <c r="F32" i="1"/>
  <c r="F31" i="1"/>
  <c r="F29" i="1"/>
  <c r="F30" i="1"/>
  <c r="T3" i="1" l="1"/>
  <c r="U3" i="1"/>
  <c r="V3" i="1"/>
  <c r="W3" i="1"/>
  <c r="X3" i="1"/>
  <c r="T4" i="1"/>
  <c r="D30" i="1" s="1"/>
  <c r="U4" i="1"/>
  <c r="D31" i="1" s="1"/>
  <c r="V4" i="1"/>
  <c r="W4" i="1"/>
  <c r="X4" i="1"/>
  <c r="T5" i="1"/>
  <c r="U5" i="1"/>
  <c r="V5" i="1"/>
  <c r="W5" i="1"/>
  <c r="X5" i="1"/>
  <c r="T6" i="1"/>
  <c r="U6" i="1"/>
  <c r="V6" i="1"/>
  <c r="W6" i="1"/>
  <c r="X6" i="1"/>
  <c r="T7" i="1"/>
  <c r="U7" i="1"/>
  <c r="V7" i="1"/>
  <c r="W7" i="1"/>
  <c r="X7" i="1"/>
  <c r="T8" i="1"/>
  <c r="U8" i="1"/>
  <c r="V8" i="1"/>
  <c r="W8" i="1"/>
  <c r="X8" i="1"/>
  <c r="T9" i="1"/>
  <c r="U9" i="1"/>
  <c r="V9" i="1"/>
  <c r="W9" i="1"/>
  <c r="X9" i="1"/>
  <c r="T10" i="1"/>
  <c r="U10" i="1"/>
  <c r="V10" i="1"/>
  <c r="W10" i="1"/>
  <c r="X10" i="1"/>
  <c r="T11" i="1"/>
  <c r="U11" i="1"/>
  <c r="V11" i="1"/>
  <c r="W11" i="1"/>
  <c r="X11" i="1"/>
  <c r="T12" i="1"/>
  <c r="U12" i="1"/>
  <c r="V12" i="1"/>
  <c r="W12" i="1"/>
  <c r="X12" i="1"/>
  <c r="T13" i="1"/>
  <c r="U13" i="1"/>
  <c r="V13" i="1"/>
  <c r="W13" i="1"/>
  <c r="X13" i="1"/>
  <c r="T14" i="1"/>
  <c r="U14" i="1"/>
  <c r="V14" i="1"/>
  <c r="W14" i="1"/>
  <c r="X14" i="1"/>
  <c r="T15" i="1"/>
  <c r="U15" i="1"/>
  <c r="V15" i="1"/>
  <c r="W15" i="1"/>
  <c r="X15" i="1"/>
  <c r="T16" i="1"/>
  <c r="U16" i="1"/>
  <c r="V16" i="1"/>
  <c r="W16" i="1"/>
  <c r="X16" i="1"/>
  <c r="T17" i="1"/>
  <c r="U17" i="1"/>
  <c r="V17" i="1"/>
  <c r="W17" i="1"/>
  <c r="X17" i="1"/>
  <c r="T18" i="1"/>
  <c r="U18" i="1"/>
  <c r="V18" i="1"/>
  <c r="W18" i="1"/>
  <c r="X18" i="1"/>
  <c r="T19" i="1"/>
  <c r="U19" i="1"/>
  <c r="V19" i="1"/>
  <c r="W19" i="1"/>
  <c r="X19" i="1"/>
  <c r="T20" i="1"/>
  <c r="U20" i="1"/>
  <c r="V20" i="1"/>
  <c r="W20" i="1"/>
  <c r="X20" i="1"/>
  <c r="T21" i="1"/>
  <c r="U21" i="1"/>
  <c r="V21" i="1"/>
  <c r="W21" i="1"/>
  <c r="X21" i="1"/>
  <c r="T22" i="1"/>
  <c r="U22" i="1"/>
  <c r="V22" i="1"/>
  <c r="W22" i="1"/>
  <c r="X22" i="1"/>
  <c r="T23" i="1"/>
  <c r="U23" i="1"/>
  <c r="V23" i="1"/>
  <c r="W23" i="1"/>
  <c r="X23" i="1"/>
  <c r="T24" i="1"/>
  <c r="U24" i="1"/>
  <c r="V24" i="1"/>
  <c r="W24" i="1"/>
  <c r="X24" i="1"/>
  <c r="T25" i="1"/>
  <c r="U25" i="1"/>
  <c r="V25" i="1"/>
  <c r="W25" i="1"/>
  <c r="X25" i="1"/>
  <c r="T26" i="1"/>
  <c r="U26" i="1"/>
  <c r="V26" i="1"/>
  <c r="W26" i="1"/>
  <c r="X26" i="1"/>
  <c r="T27" i="1"/>
  <c r="U27" i="1"/>
  <c r="V27" i="1"/>
  <c r="W27" i="1"/>
  <c r="X27" i="1"/>
  <c r="T28" i="1"/>
  <c r="U28" i="1"/>
  <c r="V28" i="1"/>
  <c r="W28" i="1"/>
  <c r="X28" i="1"/>
  <c r="T29" i="1"/>
  <c r="U29" i="1"/>
  <c r="V29" i="1"/>
  <c r="W29" i="1"/>
  <c r="X29" i="1"/>
  <c r="T30" i="1"/>
  <c r="U30" i="1"/>
  <c r="V30" i="1"/>
  <c r="W30" i="1"/>
  <c r="X30" i="1"/>
  <c r="T31" i="1"/>
  <c r="U31" i="1"/>
  <c r="V31" i="1"/>
  <c r="W31" i="1"/>
  <c r="X31" i="1"/>
  <c r="T32" i="1"/>
  <c r="U32" i="1"/>
  <c r="V32" i="1"/>
  <c r="W32" i="1"/>
  <c r="X32" i="1"/>
  <c r="T33" i="1"/>
  <c r="U33" i="1"/>
  <c r="V33" i="1"/>
  <c r="W33" i="1"/>
  <c r="X33" i="1"/>
  <c r="T34" i="1"/>
  <c r="U34" i="1"/>
  <c r="V34" i="1"/>
  <c r="W34" i="1"/>
  <c r="X34" i="1"/>
  <c r="T35" i="1"/>
  <c r="U35" i="1"/>
  <c r="V35" i="1"/>
  <c r="W35" i="1"/>
  <c r="X35" i="1"/>
  <c r="T36" i="1"/>
  <c r="U36" i="1"/>
  <c r="V36" i="1"/>
  <c r="W36" i="1"/>
  <c r="X36" i="1"/>
  <c r="T37" i="1"/>
  <c r="U37" i="1"/>
  <c r="V37" i="1"/>
  <c r="W37" i="1"/>
  <c r="X37" i="1"/>
  <c r="T38" i="1"/>
  <c r="U38" i="1"/>
  <c r="V38" i="1"/>
  <c r="W38" i="1"/>
  <c r="X38" i="1"/>
  <c r="T39" i="1"/>
  <c r="U39" i="1"/>
  <c r="V39" i="1"/>
  <c r="W39" i="1"/>
  <c r="X39" i="1"/>
  <c r="T40" i="1"/>
  <c r="U40" i="1"/>
  <c r="V40" i="1"/>
  <c r="W40" i="1"/>
  <c r="X40" i="1"/>
  <c r="T41" i="1"/>
  <c r="U41" i="1"/>
  <c r="V41" i="1"/>
  <c r="W41" i="1"/>
  <c r="X41" i="1"/>
  <c r="T42" i="1"/>
  <c r="U42" i="1"/>
  <c r="V42" i="1"/>
  <c r="W42" i="1"/>
  <c r="X42" i="1"/>
  <c r="T43" i="1"/>
  <c r="U43" i="1"/>
  <c r="V43" i="1"/>
  <c r="W43" i="1"/>
  <c r="X43" i="1"/>
  <c r="T44" i="1"/>
  <c r="U44" i="1"/>
  <c r="V44" i="1"/>
  <c r="W44" i="1"/>
  <c r="X44" i="1"/>
  <c r="T45" i="1"/>
  <c r="U45" i="1"/>
  <c r="V45" i="1"/>
  <c r="W45" i="1"/>
  <c r="X45" i="1"/>
  <c r="T46" i="1"/>
  <c r="U46" i="1"/>
  <c r="V46" i="1"/>
  <c r="W46" i="1"/>
  <c r="X46" i="1"/>
  <c r="X2" i="1"/>
  <c r="D34" i="1" s="1"/>
  <c r="W2" i="1"/>
  <c r="D33" i="1" s="1"/>
  <c r="V2" i="1"/>
  <c r="D32" i="1" s="1"/>
  <c r="U2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2" i="1"/>
  <c r="D29" i="1" s="1"/>
  <c r="X1" i="1"/>
  <c r="W1" i="1"/>
  <c r="V1" i="1"/>
  <c r="U1" i="1"/>
  <c r="T1" i="1"/>
  <c r="S1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2" i="1"/>
  <c r="N2" i="1"/>
  <c r="F12" i="1"/>
  <c r="M4" i="1" s="1"/>
  <c r="N4" i="1" s="1"/>
  <c r="F19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3" i="1"/>
  <c r="O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2" i="1"/>
  <c r="M3" i="1"/>
  <c r="N3" i="1" s="1"/>
  <c r="M11" i="1"/>
  <c r="N11" i="1" s="1"/>
  <c r="M19" i="1"/>
  <c r="N19" i="1" s="1"/>
  <c r="M27" i="1"/>
  <c r="N27" i="1" s="1"/>
  <c r="M35" i="1"/>
  <c r="N35" i="1" s="1"/>
  <c r="M43" i="1"/>
  <c r="N43" i="1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3" i="1"/>
  <c r="L2" i="1"/>
  <c r="K2" i="1" a="1"/>
  <c r="K9" i="1" s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3" i="1"/>
  <c r="J46" i="1"/>
  <c r="J2" i="1"/>
  <c r="I4" i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3" i="1"/>
  <c r="F10" i="1"/>
  <c r="F7" i="1"/>
  <c r="F5" i="1"/>
  <c r="F4" i="1"/>
  <c r="F3" i="1"/>
  <c r="F2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M40" i="1" l="1"/>
  <c r="N40" i="1" s="1"/>
  <c r="M32" i="1"/>
  <c r="N32" i="1" s="1"/>
  <c r="M24" i="1"/>
  <c r="N24" i="1" s="1"/>
  <c r="M16" i="1"/>
  <c r="N16" i="1" s="1"/>
  <c r="M8" i="1"/>
  <c r="N8" i="1" s="1"/>
  <c r="M34" i="1"/>
  <c r="N34" i="1" s="1"/>
  <c r="M18" i="1"/>
  <c r="N18" i="1" s="1"/>
  <c r="M41" i="1"/>
  <c r="N41" i="1" s="1"/>
  <c r="M25" i="1"/>
  <c r="N25" i="1" s="1"/>
  <c r="M9" i="1"/>
  <c r="N9" i="1" s="1"/>
  <c r="M2" i="1"/>
  <c r="M39" i="1"/>
  <c r="N39" i="1" s="1"/>
  <c r="M31" i="1"/>
  <c r="N31" i="1" s="1"/>
  <c r="M23" i="1"/>
  <c r="N23" i="1" s="1"/>
  <c r="M15" i="1"/>
  <c r="N15" i="1" s="1"/>
  <c r="M7" i="1"/>
  <c r="N7" i="1" s="1"/>
  <c r="M33" i="1"/>
  <c r="N33" i="1" s="1"/>
  <c r="M17" i="1"/>
  <c r="N17" i="1" s="1"/>
  <c r="M46" i="1"/>
  <c r="N46" i="1" s="1"/>
  <c r="M38" i="1"/>
  <c r="N38" i="1" s="1"/>
  <c r="M30" i="1"/>
  <c r="N30" i="1" s="1"/>
  <c r="M22" i="1"/>
  <c r="N22" i="1" s="1"/>
  <c r="M14" i="1"/>
  <c r="N14" i="1" s="1"/>
  <c r="M6" i="1"/>
  <c r="N6" i="1" s="1"/>
  <c r="M42" i="1"/>
  <c r="N42" i="1" s="1"/>
  <c r="M26" i="1"/>
  <c r="N26" i="1" s="1"/>
  <c r="M10" i="1"/>
  <c r="N10" i="1" s="1"/>
  <c r="M45" i="1"/>
  <c r="N45" i="1" s="1"/>
  <c r="M37" i="1"/>
  <c r="N37" i="1" s="1"/>
  <c r="M29" i="1"/>
  <c r="N29" i="1" s="1"/>
  <c r="M21" i="1"/>
  <c r="N21" i="1" s="1"/>
  <c r="M13" i="1"/>
  <c r="N13" i="1" s="1"/>
  <c r="M5" i="1"/>
  <c r="N5" i="1" s="1"/>
  <c r="M44" i="1"/>
  <c r="N44" i="1" s="1"/>
  <c r="M36" i="1"/>
  <c r="N36" i="1" s="1"/>
  <c r="M28" i="1"/>
  <c r="N28" i="1" s="1"/>
  <c r="M20" i="1"/>
  <c r="N20" i="1" s="1"/>
  <c r="M12" i="1"/>
  <c r="N12" i="1" s="1"/>
  <c r="F16" i="1"/>
  <c r="P6" i="1" s="1"/>
  <c r="Q6" i="1" s="1"/>
  <c r="K40" i="1"/>
  <c r="K32" i="1"/>
  <c r="K24" i="1"/>
  <c r="K16" i="1"/>
  <c r="K8" i="1"/>
  <c r="K39" i="1"/>
  <c r="K31" i="1"/>
  <c r="K23" i="1"/>
  <c r="K15" i="1"/>
  <c r="K7" i="1"/>
  <c r="K46" i="1"/>
  <c r="K38" i="1"/>
  <c r="K30" i="1"/>
  <c r="K22" i="1"/>
  <c r="K14" i="1"/>
  <c r="K6" i="1"/>
  <c r="K21" i="1"/>
  <c r="K13" i="1"/>
  <c r="K44" i="1"/>
  <c r="K36" i="1"/>
  <c r="K28" i="1"/>
  <c r="K20" i="1"/>
  <c r="K12" i="1"/>
  <c r="K45" i="1"/>
  <c r="K37" i="1"/>
  <c r="K29" i="1"/>
  <c r="K5" i="1"/>
  <c r="K4" i="1"/>
  <c r="K43" i="1"/>
  <c r="K35" i="1"/>
  <c r="K27" i="1"/>
  <c r="K19" i="1"/>
  <c r="K11" i="1"/>
  <c r="K3" i="1"/>
  <c r="K42" i="1"/>
  <c r="K34" i="1"/>
  <c r="K26" i="1"/>
  <c r="K18" i="1"/>
  <c r="K10" i="1"/>
  <c r="K2" i="1"/>
  <c r="K41" i="1"/>
  <c r="K33" i="1"/>
  <c r="K25" i="1"/>
  <c r="K17" i="1"/>
  <c r="P3" i="1" l="1"/>
  <c r="Q3" i="1" s="1"/>
  <c r="P46" i="1"/>
  <c r="Q46" i="1" s="1"/>
  <c r="P34" i="1"/>
  <c r="Q34" i="1" s="1"/>
  <c r="P15" i="1"/>
  <c r="Q15" i="1" s="1"/>
  <c r="P32" i="1"/>
  <c r="Q32" i="1" s="1"/>
  <c r="P26" i="1"/>
  <c r="Q26" i="1" s="1"/>
  <c r="P18" i="1"/>
  <c r="Q18" i="1" s="1"/>
  <c r="P11" i="1"/>
  <c r="Q11" i="1" s="1"/>
  <c r="P36" i="1"/>
  <c r="Q36" i="1" s="1"/>
  <c r="P23" i="1"/>
  <c r="Q23" i="1" s="1"/>
  <c r="P40" i="1"/>
  <c r="Q40" i="1" s="1"/>
  <c r="P5" i="1"/>
  <c r="Q5" i="1" s="1"/>
  <c r="P42" i="1"/>
  <c r="Q42" i="1" s="1"/>
  <c r="P19" i="1"/>
  <c r="Q19" i="1" s="1"/>
  <c r="P16" i="1"/>
  <c r="Q16" i="1" s="1"/>
  <c r="P44" i="1"/>
  <c r="Q44" i="1" s="1"/>
  <c r="P14" i="1"/>
  <c r="Q14" i="1" s="1"/>
  <c r="P4" i="1"/>
  <c r="Q4" i="1" s="1"/>
  <c r="P9" i="1"/>
  <c r="Q9" i="1" s="1"/>
  <c r="P27" i="1"/>
  <c r="Q27" i="1" s="1"/>
  <c r="P45" i="1"/>
  <c r="Q45" i="1" s="1"/>
  <c r="P24" i="1"/>
  <c r="Q24" i="1" s="1"/>
  <c r="P35" i="1"/>
  <c r="Q35" i="1" s="1"/>
  <c r="P7" i="1"/>
  <c r="Q7" i="1" s="1"/>
  <c r="P31" i="1"/>
  <c r="Q31" i="1" s="1"/>
  <c r="P22" i="1"/>
  <c r="Q22" i="1" s="1"/>
  <c r="P12" i="1"/>
  <c r="Q12" i="1" s="1"/>
  <c r="P21" i="1"/>
  <c r="Q21" i="1" s="1"/>
  <c r="P17" i="1"/>
  <c r="Q17" i="1" s="1"/>
  <c r="P30" i="1"/>
  <c r="Q30" i="1" s="1"/>
  <c r="P2" i="1"/>
  <c r="P20" i="1"/>
  <c r="Q20" i="1" s="1"/>
  <c r="P29" i="1"/>
  <c r="Q29" i="1" s="1"/>
  <c r="P25" i="1"/>
  <c r="Q25" i="1" s="1"/>
  <c r="P43" i="1"/>
  <c r="Q43" i="1" s="1"/>
  <c r="P41" i="1"/>
  <c r="Q41" i="1" s="1"/>
  <c r="P13" i="1"/>
  <c r="Q13" i="1" s="1"/>
  <c r="P39" i="1"/>
  <c r="Q39" i="1" s="1"/>
  <c r="P38" i="1"/>
  <c r="Q38" i="1" s="1"/>
  <c r="P8" i="1"/>
  <c r="Q8" i="1" s="1"/>
  <c r="P28" i="1"/>
  <c r="Q28" i="1" s="1"/>
  <c r="P37" i="1"/>
  <c r="Q37" i="1" s="1"/>
  <c r="P33" i="1"/>
  <c r="Q33" i="1" s="1"/>
  <c r="P10" i="1"/>
  <c r="Q10" i="1" s="1"/>
  <c r="Q2" i="1" l="1"/>
  <c r="F24" i="1"/>
  <c r="F18" i="1"/>
  <c r="F23" i="1" s="1"/>
</calcChain>
</file>

<file path=xl/sharedStrings.xml><?xml version="1.0" encoding="utf-8"?>
<sst xmlns="http://schemas.openxmlformats.org/spreadsheetml/2006/main" count="36" uniqueCount="36">
  <si>
    <t>Date</t>
  </si>
  <si>
    <t>Close</t>
  </si>
  <si>
    <t>Ln R</t>
  </si>
  <si>
    <t>n</t>
  </si>
  <si>
    <t>Q1</t>
  </si>
  <si>
    <t>Q3</t>
  </si>
  <si>
    <t>IQR</t>
  </si>
  <si>
    <t>max</t>
  </si>
  <si>
    <t>min</t>
  </si>
  <si>
    <t>h</t>
  </si>
  <si>
    <t>#bins</t>
  </si>
  <si>
    <t>#bins Round</t>
  </si>
  <si>
    <t>Bins</t>
  </si>
  <si>
    <t>Frequency</t>
  </si>
  <si>
    <t>norm</t>
  </si>
  <si>
    <t>dBin</t>
  </si>
  <si>
    <t>P</t>
  </si>
  <si>
    <t>Q</t>
  </si>
  <si>
    <t>P*exp(-L*S)</t>
  </si>
  <si>
    <t>S(0)</t>
  </si>
  <si>
    <t>S</t>
  </si>
  <si>
    <t>l</t>
  </si>
  <si>
    <t>dS</t>
  </si>
  <si>
    <t>Norm P'</t>
  </si>
  <si>
    <t>Fwd Condit</t>
  </si>
  <si>
    <t>QS</t>
  </si>
  <si>
    <t>F</t>
  </si>
  <si>
    <t>r</t>
  </si>
  <si>
    <t>q</t>
  </si>
  <si>
    <t>Err</t>
  </si>
  <si>
    <t>QdS</t>
  </si>
  <si>
    <t>dQ/dP</t>
  </si>
  <si>
    <t>opt px</t>
  </si>
  <si>
    <t>K</t>
  </si>
  <si>
    <t>Implied Vol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</si>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</sst>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0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2" fillId="0" borderId="0" xfId="0" applyFont="1"/>
    <xf numFmtId="10" fontId="0" fillId="0" borderId="0" xfId="0" applyNumberFormat="1"/>
    <xf numFmtId="3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Sheet1!$F$28</c:f>
              <c:strCache>
                <c:ptCount val="1"/>
                <c:pt idx="0">
                  <c:v>Implied Vol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Sheet1!$E$29:$E$34</c:f>
              <c:numCache>
                <c:formatCode>#,##0</c:formatCode>
                <c:ptCount val="6"/>
                <c:pt idx="0">
                  <c:v>2700</c:v>
                </c:pt>
                <c:pt idx="1">
                  <c:v>2800</c:v>
                </c:pt>
                <c:pt idx="2">
                  <c:v>2900</c:v>
                </c:pt>
                <c:pt idx="3">
                  <c:v>3000</c:v>
                </c:pt>
                <c:pt idx="4">
                  <c:v>3100</c:v>
                </c:pt>
                <c:pt idx="5">
                  <c:v>3200</c:v>
                </c:pt>
              </c:numCache>
            </c:numRef>
          </c:xVal>
          <c:yVal>
            <c:numRef>
              <c:f>Sheet1!$F$29:$F$34</c:f>
              <c:numCache>
                <c:formatCode>0.00%</c:formatCode>
                <c:ptCount val="6"/>
                <c:pt idx="0">
                  <c:v>0.17043970372604553</c:v>
                </c:pt>
                <c:pt idx="1">
                  <c:v>0.14810730904644812</c:v>
                </c:pt>
                <c:pt idx="2">
                  <c:v>0.12362913998553084</c:v>
                </c:pt>
                <c:pt idx="3">
                  <c:v>0.1095361445261636</c:v>
                </c:pt>
                <c:pt idx="4">
                  <c:v>0.1027209107580738</c:v>
                </c:pt>
                <c:pt idx="5">
                  <c:v>0.10046372125508814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094544"/>
        <c:axId val="1246089104"/>
      </c:scatterChart>
      <c:valAx>
        <c:axId val="124609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089104"/>
        <c:crosses val="autoZero"/>
        <c:crossBetween val="midCat"/>
      </c:valAx>
      <c:valAx>
        <c:axId val="124608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609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24</xdr:row>
      <xdr:rowOff>71437</xdr:rowOff>
    </xdr:from>
    <xdr:to>
      <xdr:col>19</xdr:col>
      <xdr:colOff>552450</xdr:colOff>
      <xdr:row>38</xdr:row>
      <xdr:rowOff>147637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1260"/>
  <sheetViews>
    <sheetView tabSelected="1" workbookViewId="0">
      <selection activeCell="N2" sqref="N2"/>
    </sheetView>
  </sheetViews>
  <sheetFormatPr defaultRowHeight="15" x14ac:dyDescent="0.25"/>
  <cols>
    <col min="1" max="1" width="10.7109375" bestFit="1" customWidth="1"/>
    <col min="5" max="5" width="11.85546875" bestFit="1" customWidth="1"/>
    <col min="6" max="6" width="11.5703125" bestFit="1" customWidth="1"/>
    <col min="14" max="14" width="12" bestFit="1" customWidth="1"/>
    <col min="16" max="16" width="12" bestFit="1" customWidth="1"/>
  </cols>
  <sheetData>
    <row r="1" spans="1:24" x14ac:dyDescent="0.25">
      <c r="A1" t="s">
        <v>0</v>
      </c>
      <c r="B1" s="6" t="s">
        <v>1</v>
      </c>
      <c r="C1" s="6" t="s">
        <v>2</v>
      </c>
      <c r="H1" s="6" t="s">
        <v>20</v>
      </c>
      <c r="J1" s="6" t="s">
        <v>12</v>
      </c>
      <c r="K1" s="6" t="s">
        <v>13</v>
      </c>
      <c r="L1" s="6" t="s">
        <v>15</v>
      </c>
      <c r="M1" s="6" t="s">
        <v>16</v>
      </c>
      <c r="N1" s="6" t="s">
        <v>18</v>
      </c>
      <c r="O1" s="6" t="s">
        <v>22</v>
      </c>
      <c r="P1" s="6" t="s">
        <v>17</v>
      </c>
      <c r="Q1" s="6" t="s">
        <v>25</v>
      </c>
      <c r="R1" s="6" t="s">
        <v>31</v>
      </c>
      <c r="S1" s="6" t="str">
        <f>"Opt" &amp; I2</f>
        <v>Opt1</v>
      </c>
      <c r="T1" s="6" t="str">
        <f>"Opt" &amp; I3</f>
        <v>Opt2</v>
      </c>
      <c r="U1" s="6" t="str">
        <f>"Opt" &amp; I4</f>
        <v>Opt3</v>
      </c>
      <c r="V1" s="6" t="str">
        <f>"Opt" &amp; I5</f>
        <v>Opt4</v>
      </c>
      <c r="W1" s="6" t="str">
        <f>"Opt" &amp; I6</f>
        <v>Opt5</v>
      </c>
      <c r="X1" s="6" t="str">
        <f>"Opt" &amp; I7</f>
        <v>Opt6</v>
      </c>
    </row>
    <row r="2" spans="1:24" x14ac:dyDescent="0.25">
      <c r="A2" s="1">
        <v>42109</v>
      </c>
      <c r="B2" s="5">
        <v>2106.6298830000001</v>
      </c>
      <c r="C2" s="6"/>
      <c r="E2" t="s">
        <v>3</v>
      </c>
      <c r="F2" s="6">
        <f>COUNT(C2:C1260)</f>
        <v>1195</v>
      </c>
      <c r="G2" s="6"/>
      <c r="H2" s="3">
        <f>$F$14*EXP(J2)</f>
        <v>1949.3552555233027</v>
      </c>
      <c r="I2" s="6">
        <v>1</v>
      </c>
      <c r="J2" s="9">
        <f>F7</f>
        <v>-0.35506375256742811</v>
      </c>
      <c r="K2">
        <f t="array" ref="K2:K46">FREQUENCY($C$2:$C$1260,$J$2:$J$46)</f>
        <v>1</v>
      </c>
      <c r="L2" s="8">
        <f>J3-J2</f>
        <v>1.2165885024263301E-2</v>
      </c>
      <c r="M2">
        <f>K2/$F$12</f>
        <v>2.4240554704369902E-5</v>
      </c>
      <c r="N2">
        <f>M2*EXP(-$F$15*H2)</f>
        <v>2.4719641746635592E-7</v>
      </c>
      <c r="O2" s="3">
        <f>H3-H2</f>
        <v>23.860479539554035</v>
      </c>
      <c r="P2">
        <f>N2/$F$16</f>
        <v>1.9060377189337229E-4</v>
      </c>
      <c r="Q2">
        <f>P2*H2</f>
        <v>0.37155446446291007</v>
      </c>
      <c r="R2">
        <f>EXP(-$F$15*H2)</f>
        <v>1.0197638646519637E-2</v>
      </c>
      <c r="S2">
        <f t="shared" ref="S2:S46" si="0">P2*MAX(H2-$E$29,0)</f>
        <v>0</v>
      </c>
      <c r="T2">
        <f t="shared" ref="T2:T46" si="1">P2*MAX(H2-$E$30,0)</f>
        <v>0</v>
      </c>
      <c r="U2">
        <f t="shared" ref="U2:U46" si="2">P2*MAX(H2-$E$31,0)</f>
        <v>0</v>
      </c>
      <c r="V2">
        <f t="shared" ref="V2:V46" si="3">P2*MAX(H2-$E$32,0)</f>
        <v>0</v>
      </c>
      <c r="W2">
        <f t="shared" ref="W2:W46" si="4">P2*MAX(H2-$E$33,0)</f>
        <v>0</v>
      </c>
      <c r="X2">
        <f t="shared" ref="X2:X46" si="5">P2*MAX(H2-$E$34,0)</f>
        <v>0</v>
      </c>
    </row>
    <row r="3" spans="1:24" x14ac:dyDescent="0.25">
      <c r="A3" s="1">
        <v>42110</v>
      </c>
      <c r="B3" s="5">
        <v>2104.98999</v>
      </c>
      <c r="C3" s="7"/>
      <c r="E3" t="s">
        <v>4</v>
      </c>
      <c r="F3" s="9">
        <f>QUARTILE(C2:C1260,1)</f>
        <v>-6.2103872760326424E-3</v>
      </c>
      <c r="G3" s="9"/>
      <c r="H3" s="3">
        <f t="shared" ref="H3:H46" si="6">$F$14*EXP(J3)</f>
        <v>1973.2157350628568</v>
      </c>
      <c r="I3" s="6">
        <f>I2+1</f>
        <v>2</v>
      </c>
      <c r="J3" s="9">
        <f>J2+($F$6-$F$7)/44</f>
        <v>-0.34289786754316481</v>
      </c>
      <c r="K3">
        <v>0</v>
      </c>
      <c r="L3" s="8">
        <f>J3-J2</f>
        <v>1.2165885024263301E-2</v>
      </c>
      <c r="M3">
        <f t="shared" ref="M3:M46" si="7">K3/$F$12</f>
        <v>0</v>
      </c>
      <c r="N3">
        <f t="shared" ref="N3:N46" si="8">M3*EXP(-$F$15*H3)</f>
        <v>0</v>
      </c>
      <c r="O3" s="3">
        <f>H3-H2</f>
        <v>23.860479539554035</v>
      </c>
      <c r="P3">
        <f t="shared" ref="P3:P46" si="9">N3/$F$16</f>
        <v>0</v>
      </c>
      <c r="Q3">
        <f t="shared" ref="Q3:Q46" si="10">P3*H3</f>
        <v>0</v>
      </c>
      <c r="R3">
        <f t="shared" ref="R3:R46" si="11">EXP(-$F$15*H3)</f>
        <v>9.6410264594326087E-3</v>
      </c>
      <c r="S3">
        <f t="shared" si="0"/>
        <v>0</v>
      </c>
      <c r="T3">
        <f t="shared" si="1"/>
        <v>0</v>
      </c>
      <c r="U3">
        <f t="shared" si="2"/>
        <v>0</v>
      </c>
      <c r="V3">
        <f t="shared" si="3"/>
        <v>0</v>
      </c>
      <c r="W3">
        <f t="shared" si="4"/>
        <v>0</v>
      </c>
      <c r="X3">
        <f t="shared" si="5"/>
        <v>0</v>
      </c>
    </row>
    <row r="4" spans="1:24" x14ac:dyDescent="0.25">
      <c r="A4" s="1">
        <v>42111</v>
      </c>
      <c r="B4" s="5">
        <v>2081.179932</v>
      </c>
      <c r="C4" s="7"/>
      <c r="E4" t="s">
        <v>5</v>
      </c>
      <c r="F4" s="9">
        <f>QUARTILE(C2:C1260,3)</f>
        <v>5.7380404549410111E-2</v>
      </c>
      <c r="G4" s="9"/>
      <c r="H4" s="3">
        <f t="shared" si="6"/>
        <v>1997.3682714156803</v>
      </c>
      <c r="I4" s="6">
        <f t="shared" ref="I4:I46" si="12">I3+1</f>
        <v>3</v>
      </c>
      <c r="J4" s="9">
        <f t="shared" ref="J4:J45" si="13">J3+($F$6-$F$7)/44</f>
        <v>-0.33073198251890151</v>
      </c>
      <c r="K4">
        <v>0</v>
      </c>
      <c r="L4" s="8">
        <f t="shared" ref="L4:L46" si="14">J4-J3</f>
        <v>1.2165885024263301E-2</v>
      </c>
      <c r="M4">
        <f t="shared" si="7"/>
        <v>0</v>
      </c>
      <c r="N4">
        <f t="shared" si="8"/>
        <v>0</v>
      </c>
      <c r="O4" s="3">
        <f t="shared" ref="O4:O46" si="15">H4-H3</f>
        <v>24.152536352823518</v>
      </c>
      <c r="P4">
        <f t="shared" si="9"/>
        <v>0</v>
      </c>
      <c r="Q4">
        <f t="shared" si="10"/>
        <v>0</v>
      </c>
      <c r="R4">
        <f t="shared" si="11"/>
        <v>9.1085355936736424E-3</v>
      </c>
      <c r="S4">
        <f t="shared" si="0"/>
        <v>0</v>
      </c>
      <c r="T4">
        <f t="shared" si="1"/>
        <v>0</v>
      </c>
      <c r="U4">
        <f t="shared" si="2"/>
        <v>0</v>
      </c>
      <c r="V4">
        <f t="shared" si="3"/>
        <v>0</v>
      </c>
      <c r="W4">
        <f t="shared" si="4"/>
        <v>0</v>
      </c>
      <c r="X4">
        <f t="shared" si="5"/>
        <v>0</v>
      </c>
    </row>
    <row r="5" spans="1:24" x14ac:dyDescent="0.25">
      <c r="A5" s="1">
        <v>42114</v>
      </c>
      <c r="B5" s="5">
        <v>2100.3999020000001</v>
      </c>
      <c r="C5" s="7"/>
      <c r="E5" t="s">
        <v>6</v>
      </c>
      <c r="F5" s="9">
        <f>F4-F3</f>
        <v>6.359079182544275E-2</v>
      </c>
      <c r="G5" s="9"/>
      <c r="H5" s="3">
        <f t="shared" si="6"/>
        <v>2021.8164394127828</v>
      </c>
      <c r="I5" s="6">
        <f t="shared" si="12"/>
        <v>4</v>
      </c>
      <c r="J5" s="9">
        <f t="shared" si="13"/>
        <v>-0.31856609749463821</v>
      </c>
      <c r="K5">
        <v>1</v>
      </c>
      <c r="L5" s="8">
        <f t="shared" si="14"/>
        <v>1.2165885024263301E-2</v>
      </c>
      <c r="M5">
        <f t="shared" si="7"/>
        <v>2.4240554704369902E-5</v>
      </c>
      <c r="N5">
        <f t="shared" si="8"/>
        <v>2.0845598814860866E-7</v>
      </c>
      <c r="O5" s="3">
        <f t="shared" si="15"/>
        <v>24.448167997102473</v>
      </c>
      <c r="P5">
        <f t="shared" si="9"/>
        <v>1.6073249775269344E-4</v>
      </c>
      <c r="Q5">
        <f t="shared" si="10"/>
        <v>0.32497160630427374</v>
      </c>
      <c r="R5">
        <f t="shared" si="11"/>
        <v>8.5994726890894872E-3</v>
      </c>
      <c r="S5">
        <f t="shared" si="0"/>
        <v>0</v>
      </c>
      <c r="T5">
        <f t="shared" si="1"/>
        <v>0</v>
      </c>
      <c r="U5">
        <f t="shared" si="2"/>
        <v>0</v>
      </c>
      <c r="V5">
        <f t="shared" si="3"/>
        <v>0</v>
      </c>
      <c r="W5">
        <f t="shared" si="4"/>
        <v>0</v>
      </c>
      <c r="X5">
        <f t="shared" si="5"/>
        <v>0</v>
      </c>
    </row>
    <row r="6" spans="1:24" x14ac:dyDescent="0.25">
      <c r="A6" s="1">
        <v>42115</v>
      </c>
      <c r="B6" s="5">
        <v>2097.290039</v>
      </c>
      <c r="C6" s="7"/>
      <c r="E6" t="s">
        <v>7</v>
      </c>
      <c r="F6">
        <f>MAX(C2:C1260)</f>
        <v>0.18023518850015813</v>
      </c>
      <c r="H6" s="3">
        <f t="shared" si="6"/>
        <v>2046.5638576417873</v>
      </c>
      <c r="I6" s="6">
        <f t="shared" si="12"/>
        <v>5</v>
      </c>
      <c r="J6" s="9">
        <f t="shared" si="13"/>
        <v>-0.30640021247037491</v>
      </c>
      <c r="K6">
        <v>0</v>
      </c>
      <c r="L6" s="8">
        <f t="shared" si="14"/>
        <v>1.2165885024263301E-2</v>
      </c>
      <c r="M6">
        <f t="shared" si="7"/>
        <v>0</v>
      </c>
      <c r="N6">
        <f t="shared" si="8"/>
        <v>0</v>
      </c>
      <c r="O6" s="3">
        <f t="shared" si="15"/>
        <v>24.747418229004552</v>
      </c>
      <c r="P6">
        <f t="shared" si="9"/>
        <v>0</v>
      </c>
      <c r="Q6">
        <f t="shared" si="10"/>
        <v>0</v>
      </c>
      <c r="R6">
        <f t="shared" si="11"/>
        <v>8.1131473438846979E-3</v>
      </c>
      <c r="S6">
        <f t="shared" si="0"/>
        <v>0</v>
      </c>
      <c r="T6">
        <f t="shared" si="1"/>
        <v>0</v>
      </c>
      <c r="U6">
        <f t="shared" si="2"/>
        <v>0</v>
      </c>
      <c r="V6">
        <f t="shared" si="3"/>
        <v>0</v>
      </c>
      <c r="W6">
        <f t="shared" si="4"/>
        <v>0</v>
      </c>
      <c r="X6">
        <f t="shared" si="5"/>
        <v>0</v>
      </c>
    </row>
    <row r="7" spans="1:24" x14ac:dyDescent="0.25">
      <c r="A7" s="1">
        <v>42116</v>
      </c>
      <c r="B7" s="5">
        <v>2107.959961</v>
      </c>
      <c r="C7" s="7"/>
      <c r="E7" t="s">
        <v>8</v>
      </c>
      <c r="F7">
        <f>MIN(C2:C1260)</f>
        <v>-0.35506375256742811</v>
      </c>
      <c r="H7" s="3">
        <f t="shared" si="6"/>
        <v>2071.614188982518</v>
      </c>
      <c r="I7" s="6">
        <f t="shared" si="12"/>
        <v>6</v>
      </c>
      <c r="J7" s="9">
        <f t="shared" si="13"/>
        <v>-0.29423432744611161</v>
      </c>
      <c r="K7">
        <v>0</v>
      </c>
      <c r="L7" s="8">
        <f t="shared" si="14"/>
        <v>1.2165885024263301E-2</v>
      </c>
      <c r="M7">
        <f t="shared" si="7"/>
        <v>0</v>
      </c>
      <c r="N7">
        <f t="shared" si="8"/>
        <v>0</v>
      </c>
      <c r="O7" s="3">
        <f t="shared" si="15"/>
        <v>25.050331340730736</v>
      </c>
      <c r="P7">
        <f t="shared" si="9"/>
        <v>0</v>
      </c>
      <c r="Q7">
        <f t="shared" si="10"/>
        <v>0</v>
      </c>
      <c r="R7">
        <f t="shared" si="11"/>
        <v>7.6488728753107632E-3</v>
      </c>
      <c r="S7">
        <f t="shared" si="0"/>
        <v>0</v>
      </c>
      <c r="T7">
        <f t="shared" si="1"/>
        <v>0</v>
      </c>
      <c r="U7">
        <f t="shared" si="2"/>
        <v>0</v>
      </c>
      <c r="V7">
        <f t="shared" si="3"/>
        <v>0</v>
      </c>
      <c r="W7">
        <f t="shared" si="4"/>
        <v>0</v>
      </c>
      <c r="X7">
        <f t="shared" si="5"/>
        <v>0</v>
      </c>
    </row>
    <row r="8" spans="1:24" x14ac:dyDescent="0.25">
      <c r="A8" s="1">
        <v>42117</v>
      </c>
      <c r="B8" s="5">
        <v>2112.929932</v>
      </c>
      <c r="C8" s="7"/>
      <c r="E8" t="s">
        <v>9</v>
      </c>
      <c r="F8">
        <f>2*F5*(F2^(-1/3))</f>
        <v>1.1984914129344245E-2</v>
      </c>
      <c r="H8" s="3">
        <f t="shared" si="6"/>
        <v>2096.9711411491448</v>
      </c>
      <c r="I8" s="6">
        <f t="shared" si="12"/>
        <v>7</v>
      </c>
      <c r="J8" s="9">
        <f t="shared" si="13"/>
        <v>-0.28206844242184831</v>
      </c>
      <c r="K8">
        <v>0</v>
      </c>
      <c r="L8" s="8">
        <f t="shared" si="14"/>
        <v>1.2165885024263301E-2</v>
      </c>
      <c r="M8">
        <f t="shared" si="7"/>
        <v>0</v>
      </c>
      <c r="N8">
        <f t="shared" si="8"/>
        <v>0</v>
      </c>
      <c r="O8" s="3">
        <f t="shared" si="15"/>
        <v>25.356952166626797</v>
      </c>
      <c r="P8">
        <f t="shared" si="9"/>
        <v>0</v>
      </c>
      <c r="Q8">
        <f t="shared" si="10"/>
        <v>0</v>
      </c>
      <c r="R8">
        <f t="shared" si="11"/>
        <v>7.2059670620670023E-3</v>
      </c>
      <c r="S8">
        <f t="shared" si="0"/>
        <v>0</v>
      </c>
      <c r="T8">
        <f t="shared" si="1"/>
        <v>0</v>
      </c>
      <c r="U8">
        <f t="shared" si="2"/>
        <v>0</v>
      </c>
      <c r="V8">
        <f t="shared" si="3"/>
        <v>0</v>
      </c>
      <c r="W8">
        <f t="shared" si="4"/>
        <v>0</v>
      </c>
      <c r="X8">
        <f t="shared" si="5"/>
        <v>0</v>
      </c>
    </row>
    <row r="9" spans="1:24" x14ac:dyDescent="0.25">
      <c r="A9" s="1">
        <v>42118</v>
      </c>
      <c r="B9" s="5">
        <v>2117.6899410000001</v>
      </c>
      <c r="C9" s="7"/>
      <c r="E9" t="s">
        <v>10</v>
      </c>
      <c r="F9">
        <f>(F6-F7)/F8</f>
        <v>44.664395196369682</v>
      </c>
      <c r="H9" s="3">
        <f t="shared" si="6"/>
        <v>2122.6384672389668</v>
      </c>
      <c r="I9" s="6">
        <f t="shared" si="12"/>
        <v>8</v>
      </c>
      <c r="J9" s="9">
        <f t="shared" si="13"/>
        <v>-0.26990255739758501</v>
      </c>
      <c r="K9">
        <v>3</v>
      </c>
      <c r="L9" s="8">
        <f t="shared" si="14"/>
        <v>1.2165885024263301E-2</v>
      </c>
      <c r="M9">
        <f t="shared" si="7"/>
        <v>7.2721664113109717E-5</v>
      </c>
      <c r="N9">
        <f t="shared" si="8"/>
        <v>4.9332579741266459E-7</v>
      </c>
      <c r="O9" s="3">
        <f t="shared" si="15"/>
        <v>25.667326089821927</v>
      </c>
      <c r="P9">
        <f t="shared" si="9"/>
        <v>3.8038479166858154E-4</v>
      </c>
      <c r="Q9">
        <f t="shared" si="10"/>
        <v>0.80741939114841166</v>
      </c>
      <c r="R9">
        <f t="shared" si="11"/>
        <v>6.7837528668947432E-3</v>
      </c>
      <c r="S9">
        <f t="shared" si="0"/>
        <v>0</v>
      </c>
      <c r="T9">
        <f t="shared" si="1"/>
        <v>0</v>
      </c>
      <c r="U9">
        <f t="shared" si="2"/>
        <v>0</v>
      </c>
      <c r="V9">
        <f t="shared" si="3"/>
        <v>0</v>
      </c>
      <c r="W9">
        <f t="shared" si="4"/>
        <v>0</v>
      </c>
      <c r="X9">
        <f t="shared" si="5"/>
        <v>0</v>
      </c>
    </row>
    <row r="10" spans="1:24" x14ac:dyDescent="0.25">
      <c r="A10" s="1">
        <v>42121</v>
      </c>
      <c r="B10" s="5">
        <v>2108.919922</v>
      </c>
      <c r="C10" s="7"/>
      <c r="E10" t="s">
        <v>11</v>
      </c>
      <c r="F10">
        <f>ROUND(F9,0)</f>
        <v>45</v>
      </c>
      <c r="H10" s="3">
        <f t="shared" si="6"/>
        <v>2148.6199662879076</v>
      </c>
      <c r="I10" s="6">
        <f t="shared" si="12"/>
        <v>9</v>
      </c>
      <c r="J10" s="9">
        <f t="shared" si="13"/>
        <v>-0.25773667237332171</v>
      </c>
      <c r="K10">
        <v>4</v>
      </c>
      <c r="L10" s="8">
        <f t="shared" si="14"/>
        <v>1.2165885024263301E-2</v>
      </c>
      <c r="M10">
        <f t="shared" si="7"/>
        <v>9.6962218817479609E-5</v>
      </c>
      <c r="N10">
        <f t="shared" si="8"/>
        <v>6.1877013352638755E-7</v>
      </c>
      <c r="O10" s="3">
        <f t="shared" si="15"/>
        <v>25.981499048940805</v>
      </c>
      <c r="P10">
        <f t="shared" si="9"/>
        <v>4.7711015634418336E-4</v>
      </c>
      <c r="Q10">
        <f t="shared" si="10"/>
        <v>1.0251284080398575</v>
      </c>
      <c r="R10">
        <f t="shared" si="11"/>
        <v>6.3815591379066125E-3</v>
      </c>
      <c r="S10">
        <f t="shared" si="0"/>
        <v>0</v>
      </c>
      <c r="T10">
        <f t="shared" si="1"/>
        <v>0</v>
      </c>
      <c r="U10">
        <f t="shared" si="2"/>
        <v>0</v>
      </c>
      <c r="V10">
        <f t="shared" si="3"/>
        <v>0</v>
      </c>
      <c r="W10">
        <f t="shared" si="4"/>
        <v>0</v>
      </c>
      <c r="X10">
        <f t="shared" si="5"/>
        <v>0</v>
      </c>
    </row>
    <row r="11" spans="1:24" x14ac:dyDescent="0.25">
      <c r="A11" s="1">
        <v>42122</v>
      </c>
      <c r="B11" s="5">
        <v>2114.76001</v>
      </c>
      <c r="C11" s="7"/>
      <c r="H11" s="3">
        <f t="shared" si="6"/>
        <v>2174.919483832814</v>
      </c>
      <c r="I11" s="6">
        <f t="shared" si="12"/>
        <v>10</v>
      </c>
      <c r="J11" s="9">
        <f t="shared" si="13"/>
        <v>-0.24557078734905838</v>
      </c>
      <c r="K11">
        <v>1</v>
      </c>
      <c r="L11" s="8">
        <f t="shared" si="14"/>
        <v>1.2165885024263329E-2</v>
      </c>
      <c r="M11">
        <f t="shared" si="7"/>
        <v>2.4240554704369902E-5</v>
      </c>
      <c r="N11">
        <f t="shared" si="8"/>
        <v>1.4541233152005315E-7</v>
      </c>
      <c r="O11" s="3">
        <f t="shared" si="15"/>
        <v>26.299517544906394</v>
      </c>
      <c r="P11">
        <f t="shared" si="9"/>
        <v>1.1212192778361718E-4</v>
      </c>
      <c r="Q11">
        <f t="shared" si="10"/>
        <v>0.24385616530148471</v>
      </c>
      <c r="R11">
        <f t="shared" si="11"/>
        <v>5.9987212872583042E-3</v>
      </c>
      <c r="S11">
        <f t="shared" si="0"/>
        <v>0</v>
      </c>
      <c r="T11">
        <f t="shared" si="1"/>
        <v>0</v>
      </c>
      <c r="U11">
        <f t="shared" si="2"/>
        <v>0</v>
      </c>
      <c r="V11">
        <f t="shared" si="3"/>
        <v>0</v>
      </c>
      <c r="W11">
        <f t="shared" si="4"/>
        <v>0</v>
      </c>
      <c r="X11">
        <f t="shared" si="5"/>
        <v>0</v>
      </c>
    </row>
    <row r="12" spans="1:24" x14ac:dyDescent="0.25">
      <c r="A12" s="1">
        <v>42123</v>
      </c>
      <c r="B12" s="5">
        <v>2106.8500979999999</v>
      </c>
      <c r="C12" s="7"/>
      <c r="E12" t="s">
        <v>14</v>
      </c>
      <c r="F12">
        <f>SUMPRODUCT(O2:O46,K2:K46)</f>
        <v>41253.181381188755</v>
      </c>
      <c r="H12" s="3">
        <f t="shared" si="6"/>
        <v>2201.5409124806361</v>
      </c>
      <c r="I12" s="6">
        <f t="shared" si="12"/>
        <v>11</v>
      </c>
      <c r="J12" s="9">
        <f t="shared" si="13"/>
        <v>-0.23340490232479505</v>
      </c>
      <c r="K12">
        <v>2</v>
      </c>
      <c r="L12" s="8">
        <f t="shared" si="14"/>
        <v>1.2165885024263329E-2</v>
      </c>
      <c r="M12">
        <f t="shared" si="7"/>
        <v>4.8481109408739805E-5</v>
      </c>
      <c r="N12">
        <f t="shared" si="8"/>
        <v>2.7317078378884315E-7</v>
      </c>
      <c r="O12" s="3">
        <f t="shared" si="15"/>
        <v>26.621428647822086</v>
      </c>
      <c r="P12">
        <f t="shared" si="9"/>
        <v>2.106316195634546E-4</v>
      </c>
      <c r="Q12">
        <f t="shared" si="10"/>
        <v>0.46371412793100203</v>
      </c>
      <c r="R12">
        <f t="shared" si="11"/>
        <v>5.6345819458413215E-3</v>
      </c>
      <c r="S12">
        <f t="shared" si="0"/>
        <v>0</v>
      </c>
      <c r="T12">
        <f t="shared" si="1"/>
        <v>0</v>
      </c>
      <c r="U12">
        <f t="shared" si="2"/>
        <v>0</v>
      </c>
      <c r="V12">
        <f t="shared" si="3"/>
        <v>0</v>
      </c>
      <c r="W12">
        <f t="shared" si="4"/>
        <v>0</v>
      </c>
      <c r="X12">
        <f t="shared" si="5"/>
        <v>0</v>
      </c>
    </row>
    <row r="13" spans="1:24" x14ac:dyDescent="0.25">
      <c r="A13" s="1">
        <v>42124</v>
      </c>
      <c r="B13" s="5">
        <v>2085.51001</v>
      </c>
      <c r="C13" s="7"/>
      <c r="F13" s="8"/>
      <c r="G13" s="8"/>
      <c r="H13" s="3">
        <f t="shared" si="6"/>
        <v>2228.4881924845749</v>
      </c>
      <c r="I13" s="6">
        <f t="shared" si="12"/>
        <v>12</v>
      </c>
      <c r="J13" s="9">
        <f t="shared" si="13"/>
        <v>-0.22123901730053172</v>
      </c>
      <c r="K13">
        <v>2</v>
      </c>
      <c r="L13" s="8">
        <f t="shared" si="14"/>
        <v>1.2165885024263329E-2</v>
      </c>
      <c r="M13">
        <f t="shared" si="7"/>
        <v>4.8481109408739805E-5</v>
      </c>
      <c r="N13">
        <f t="shared" si="8"/>
        <v>2.5639193951536621E-7</v>
      </c>
      <c r="O13" s="3">
        <f t="shared" si="15"/>
        <v>26.947280003938886</v>
      </c>
      <c r="P13">
        <f t="shared" si="9"/>
        <v>1.9769408980750057E-4</v>
      </c>
      <c r="Q13">
        <f t="shared" si="10"/>
        <v>0.44055894486000019</v>
      </c>
      <c r="R13">
        <f t="shared" si="11"/>
        <v>5.2884915927510897E-3</v>
      </c>
      <c r="S13">
        <f t="shared" si="0"/>
        <v>0</v>
      </c>
      <c r="T13">
        <f t="shared" si="1"/>
        <v>0</v>
      </c>
      <c r="U13">
        <f t="shared" si="2"/>
        <v>0</v>
      </c>
      <c r="V13">
        <f t="shared" si="3"/>
        <v>0</v>
      </c>
      <c r="W13">
        <f t="shared" si="4"/>
        <v>0</v>
      </c>
      <c r="X13">
        <f t="shared" si="5"/>
        <v>0</v>
      </c>
    </row>
    <row r="14" spans="1:24" x14ac:dyDescent="0.25">
      <c r="A14" s="1">
        <v>42125</v>
      </c>
      <c r="B14" s="5">
        <v>2108.290039</v>
      </c>
      <c r="C14" s="7"/>
      <c r="E14" t="s">
        <v>19</v>
      </c>
      <c r="F14" s="3">
        <v>2780.31</v>
      </c>
      <c r="G14" s="3"/>
      <c r="H14" s="3">
        <f t="shared" si="6"/>
        <v>2255.7653123272798</v>
      </c>
      <c r="I14" s="6">
        <f t="shared" si="12"/>
        <v>13</v>
      </c>
      <c r="J14" s="9">
        <f t="shared" si="13"/>
        <v>-0.20907313227626839</v>
      </c>
      <c r="K14">
        <v>2</v>
      </c>
      <c r="L14" s="8">
        <f t="shared" si="14"/>
        <v>1.2165885024263329E-2</v>
      </c>
      <c r="M14">
        <f t="shared" si="7"/>
        <v>4.8481109408739805E-5</v>
      </c>
      <c r="N14">
        <f t="shared" si="8"/>
        <v>2.4045705045318054E-7</v>
      </c>
      <c r="O14" s="3">
        <f t="shared" si="15"/>
        <v>27.277119842704906</v>
      </c>
      <c r="P14">
        <f t="shared" si="9"/>
        <v>1.8540730187147227E-4</v>
      </c>
      <c r="Q14">
        <f t="shared" si="10"/>
        <v>0.41823536021385993</v>
      </c>
      <c r="R14">
        <f t="shared" si="11"/>
        <v>4.9598091583653563E-3</v>
      </c>
      <c r="S14">
        <f t="shared" si="0"/>
        <v>0</v>
      </c>
      <c r="T14">
        <f t="shared" si="1"/>
        <v>0</v>
      </c>
      <c r="U14">
        <f t="shared" si="2"/>
        <v>0</v>
      </c>
      <c r="V14">
        <f t="shared" si="3"/>
        <v>0</v>
      </c>
      <c r="W14">
        <f t="shared" si="4"/>
        <v>0</v>
      </c>
      <c r="X14">
        <f t="shared" si="5"/>
        <v>0</v>
      </c>
    </row>
    <row r="15" spans="1:24" x14ac:dyDescent="0.25">
      <c r="A15" s="1">
        <v>42128</v>
      </c>
      <c r="B15" s="5">
        <v>2114.48999</v>
      </c>
      <c r="C15" s="7"/>
      <c r="E15" s="10" t="s">
        <v>21</v>
      </c>
      <c r="F15">
        <v>2.3523670596951093E-3</v>
      </c>
      <c r="H15" s="3">
        <f t="shared" si="6"/>
        <v>2283.3763093111893</v>
      </c>
      <c r="I15" s="6">
        <f t="shared" si="12"/>
        <v>14</v>
      </c>
      <c r="J15" s="9">
        <f t="shared" si="13"/>
        <v>-0.19690724725200506</v>
      </c>
      <c r="K15">
        <v>2</v>
      </c>
      <c r="L15" s="8">
        <f t="shared" si="14"/>
        <v>1.2165885024263329E-2</v>
      </c>
      <c r="M15">
        <f t="shared" si="7"/>
        <v>4.8481109408739805E-5</v>
      </c>
      <c r="N15">
        <f t="shared" si="8"/>
        <v>2.2533547446947407E-7</v>
      </c>
      <c r="O15" s="3">
        <f t="shared" si="15"/>
        <v>27.610996983909445</v>
      </c>
      <c r="P15">
        <f t="shared" si="9"/>
        <v>1.737476287701865E-4</v>
      </c>
      <c r="Q15">
        <f t="shared" si="10"/>
        <v>0.39673121933283906</v>
      </c>
      <c r="R15">
        <f t="shared" si="11"/>
        <v>4.6479025999527209E-3</v>
      </c>
      <c r="S15">
        <f t="shared" si="0"/>
        <v>0</v>
      </c>
      <c r="T15">
        <f t="shared" si="1"/>
        <v>0</v>
      </c>
      <c r="U15">
        <f t="shared" si="2"/>
        <v>0</v>
      </c>
      <c r="V15">
        <f t="shared" si="3"/>
        <v>0</v>
      </c>
      <c r="W15">
        <f t="shared" si="4"/>
        <v>0</v>
      </c>
      <c r="X15">
        <f t="shared" si="5"/>
        <v>0</v>
      </c>
    </row>
    <row r="16" spans="1:24" x14ac:dyDescent="0.25">
      <c r="A16" s="1">
        <v>42129</v>
      </c>
      <c r="B16" s="5">
        <v>2089.459961</v>
      </c>
      <c r="C16" s="7"/>
      <c r="E16" t="s">
        <v>23</v>
      </c>
      <c r="F16">
        <f>SUMPRODUCT(N2:N46,O2:O46)</f>
        <v>1.2969125165300649E-3</v>
      </c>
      <c r="H16" s="3">
        <f t="shared" si="6"/>
        <v>2311.32527015609</v>
      </c>
      <c r="I16" s="6">
        <f t="shared" si="12"/>
        <v>15</v>
      </c>
      <c r="J16" s="9">
        <f t="shared" si="13"/>
        <v>-0.18474136222774173</v>
      </c>
      <c r="K16">
        <v>2</v>
      </c>
      <c r="L16" s="8">
        <f t="shared" si="14"/>
        <v>1.2165885024263329E-2</v>
      </c>
      <c r="M16">
        <f t="shared" si="7"/>
        <v>4.8481109408739805E-5</v>
      </c>
      <c r="N16">
        <f t="shared" si="8"/>
        <v>2.1099703359144481E-7</v>
      </c>
      <c r="O16" s="3">
        <f t="shared" si="15"/>
        <v>27.948960844900739</v>
      </c>
      <c r="P16">
        <f t="shared" si="9"/>
        <v>1.6269180141462031E-4</v>
      </c>
      <c r="Q16">
        <f t="shared" si="10"/>
        <v>0.37603367185682823</v>
      </c>
      <c r="R16">
        <f t="shared" si="11"/>
        <v>4.3521494488203251E-3</v>
      </c>
      <c r="S16">
        <f t="shared" si="0"/>
        <v>0</v>
      </c>
      <c r="T16">
        <f t="shared" si="1"/>
        <v>0</v>
      </c>
      <c r="U16">
        <f t="shared" si="2"/>
        <v>0</v>
      </c>
      <c r="V16">
        <f t="shared" si="3"/>
        <v>0</v>
      </c>
      <c r="W16">
        <f t="shared" si="4"/>
        <v>0</v>
      </c>
      <c r="X16">
        <f t="shared" si="5"/>
        <v>0</v>
      </c>
    </row>
    <row r="17" spans="1:24" x14ac:dyDescent="0.25">
      <c r="A17" s="1">
        <v>42130</v>
      </c>
      <c r="B17" s="5">
        <v>2080.1499020000001</v>
      </c>
      <c r="C17" s="7"/>
      <c r="H17" s="3">
        <f t="shared" si="6"/>
        <v>2339.6163316039988</v>
      </c>
      <c r="I17" s="6">
        <f t="shared" si="12"/>
        <v>16</v>
      </c>
      <c r="J17" s="9">
        <f t="shared" si="13"/>
        <v>-0.17257547720347841</v>
      </c>
      <c r="K17">
        <v>1</v>
      </c>
      <c r="L17" s="8">
        <f t="shared" si="14"/>
        <v>1.2165885024263329E-2</v>
      </c>
      <c r="M17">
        <f t="shared" si="7"/>
        <v>2.4240554704369902E-5</v>
      </c>
      <c r="N17">
        <f t="shared" si="8"/>
        <v>9.8706019554624693E-8</v>
      </c>
      <c r="O17" s="3">
        <f t="shared" si="15"/>
        <v>28.29106144790876</v>
      </c>
      <c r="P17">
        <f t="shared" si="9"/>
        <v>7.6108463983920916E-5</v>
      </c>
      <c r="Q17">
        <f t="shared" si="10"/>
        <v>0.17806460531007612</v>
      </c>
      <c r="R17">
        <f t="shared" si="11"/>
        <v>4.071937328102097E-3</v>
      </c>
      <c r="S17">
        <f t="shared" si="0"/>
        <v>0</v>
      </c>
      <c r="T17">
        <f t="shared" si="1"/>
        <v>0</v>
      </c>
      <c r="U17">
        <f t="shared" si="2"/>
        <v>0</v>
      </c>
      <c r="V17">
        <f t="shared" si="3"/>
        <v>0</v>
      </c>
      <c r="W17">
        <f t="shared" si="4"/>
        <v>0</v>
      </c>
      <c r="X17">
        <f t="shared" si="5"/>
        <v>0</v>
      </c>
    </row>
    <row r="18" spans="1:24" x14ac:dyDescent="0.25">
      <c r="A18" s="1">
        <v>42131</v>
      </c>
      <c r="B18" s="5">
        <v>2088</v>
      </c>
      <c r="C18" s="7"/>
      <c r="E18" t="s">
        <v>24</v>
      </c>
      <c r="F18" s="3">
        <f>SUMPRODUCT(Q2:Q46,O2:O46)</f>
        <v>2777.8783184680401</v>
      </c>
      <c r="H18" s="3">
        <f t="shared" si="6"/>
        <v>2368.2536810314423</v>
      </c>
      <c r="I18" s="6">
        <f t="shared" si="12"/>
        <v>17</v>
      </c>
      <c r="J18" s="9">
        <f t="shared" si="13"/>
        <v>-0.16040959217921508</v>
      </c>
      <c r="K18">
        <v>4</v>
      </c>
      <c r="L18" s="8">
        <f t="shared" si="14"/>
        <v>1.2165885024263329E-2</v>
      </c>
      <c r="M18">
        <f t="shared" si="7"/>
        <v>9.6962218817479609E-5</v>
      </c>
      <c r="N18">
        <f t="shared" si="8"/>
        <v>3.6910263043335323E-7</v>
      </c>
      <c r="O18" s="3">
        <f t="shared" si="15"/>
        <v>28.637349427443496</v>
      </c>
      <c r="P18">
        <f t="shared" si="9"/>
        <v>2.8460102414687178E-4</v>
      </c>
      <c r="Q18">
        <f t="shared" si="10"/>
        <v>0.67400742306114747</v>
      </c>
      <c r="R18">
        <f t="shared" si="11"/>
        <v>3.8066644403852504E-3</v>
      </c>
      <c r="S18">
        <f t="shared" si="0"/>
        <v>0</v>
      </c>
      <c r="T18">
        <f t="shared" si="1"/>
        <v>0</v>
      </c>
      <c r="U18">
        <f t="shared" si="2"/>
        <v>0</v>
      </c>
      <c r="V18">
        <f t="shared" si="3"/>
        <v>0</v>
      </c>
      <c r="W18">
        <f t="shared" si="4"/>
        <v>0</v>
      </c>
      <c r="X18">
        <f t="shared" si="5"/>
        <v>0</v>
      </c>
    </row>
    <row r="19" spans="1:24" x14ac:dyDescent="0.25">
      <c r="A19" s="1">
        <v>42132</v>
      </c>
      <c r="B19" s="5">
        <v>2116.1000979999999</v>
      </c>
      <c r="C19" s="7"/>
      <c r="E19" t="s">
        <v>26</v>
      </c>
      <c r="F19" s="3">
        <f>F14*EXP(($F$20-$F$21)*0.25)</f>
        <v>2777.878292777058</v>
      </c>
      <c r="H19" s="3">
        <f t="shared" si="6"/>
        <v>2397.2415570692328</v>
      </c>
      <c r="I19" s="6">
        <f t="shared" si="12"/>
        <v>18</v>
      </c>
      <c r="J19" s="9">
        <f t="shared" si="13"/>
        <v>-0.14824370715495175</v>
      </c>
      <c r="K19">
        <v>5</v>
      </c>
      <c r="L19" s="8">
        <f t="shared" si="14"/>
        <v>1.2165885024263329E-2</v>
      </c>
      <c r="M19">
        <f t="shared" si="7"/>
        <v>1.2120277352184951E-4</v>
      </c>
      <c r="N19">
        <f t="shared" si="8"/>
        <v>4.3096555288857844E-7</v>
      </c>
      <c r="O19" s="3">
        <f t="shared" si="15"/>
        <v>28.987876037790556</v>
      </c>
      <c r="P19">
        <f t="shared" si="9"/>
        <v>3.3230117482530122E-4</v>
      </c>
      <c r="Q19">
        <f t="shared" si="10"/>
        <v>0.79660618575414044</v>
      </c>
      <c r="R19">
        <f t="shared" si="11"/>
        <v>3.5557400244713645E-3</v>
      </c>
      <c r="S19">
        <f t="shared" si="0"/>
        <v>0</v>
      </c>
      <c r="T19">
        <f t="shared" si="1"/>
        <v>0</v>
      </c>
      <c r="U19">
        <f t="shared" si="2"/>
        <v>0</v>
      </c>
      <c r="V19">
        <f t="shared" si="3"/>
        <v>0</v>
      </c>
      <c r="W19">
        <f t="shared" si="4"/>
        <v>0</v>
      </c>
      <c r="X19">
        <f t="shared" si="5"/>
        <v>0</v>
      </c>
    </row>
    <row r="20" spans="1:24" x14ac:dyDescent="0.25">
      <c r="A20" s="1">
        <v>42135</v>
      </c>
      <c r="B20" s="5">
        <v>2105.330078</v>
      </c>
      <c r="C20" s="7"/>
      <c r="E20" t="s">
        <v>27</v>
      </c>
      <c r="F20" s="11">
        <v>0.01</v>
      </c>
      <c r="H20" s="3">
        <f t="shared" si="6"/>
        <v>2426.584250229831</v>
      </c>
      <c r="I20" s="6">
        <f t="shared" si="12"/>
        <v>19</v>
      </c>
      <c r="J20" s="9">
        <f t="shared" si="13"/>
        <v>-0.13607782213068842</v>
      </c>
      <c r="K20">
        <v>6</v>
      </c>
      <c r="L20" s="8">
        <f t="shared" si="14"/>
        <v>1.2165885024263329E-2</v>
      </c>
      <c r="M20">
        <f t="shared" si="7"/>
        <v>1.4544332822621943E-4</v>
      </c>
      <c r="N20">
        <f t="shared" si="8"/>
        <v>4.8266601550148503E-7</v>
      </c>
      <c r="O20" s="3">
        <f t="shared" si="15"/>
        <v>29.342693160598174</v>
      </c>
      <c r="P20">
        <f t="shared" si="9"/>
        <v>3.7216543857011646E-4</v>
      </c>
      <c r="Q20">
        <f t="shared" si="10"/>
        <v>0.90309079171412232</v>
      </c>
      <c r="R20">
        <f t="shared" si="11"/>
        <v>3.318584780669737E-3</v>
      </c>
      <c r="S20">
        <f t="shared" si="0"/>
        <v>0</v>
      </c>
      <c r="T20">
        <f t="shared" si="1"/>
        <v>0</v>
      </c>
      <c r="U20">
        <f t="shared" si="2"/>
        <v>0</v>
      </c>
      <c r="V20">
        <f t="shared" si="3"/>
        <v>0</v>
      </c>
      <c r="W20">
        <f t="shared" si="4"/>
        <v>0</v>
      </c>
      <c r="X20">
        <f t="shared" si="5"/>
        <v>0</v>
      </c>
    </row>
    <row r="21" spans="1:24" x14ac:dyDescent="0.25">
      <c r="A21" s="1">
        <v>42136</v>
      </c>
      <c r="B21" s="5">
        <v>2099.1201169999999</v>
      </c>
      <c r="C21" s="7"/>
      <c r="E21" t="s">
        <v>28</v>
      </c>
      <c r="F21" s="11">
        <v>1.35E-2</v>
      </c>
      <c r="H21" s="3">
        <f t="shared" si="6"/>
        <v>2456.2861035423871</v>
      </c>
      <c r="I21" s="6">
        <f t="shared" si="12"/>
        <v>20</v>
      </c>
      <c r="J21" s="9">
        <f t="shared" si="13"/>
        <v>-0.12391193710642509</v>
      </c>
      <c r="K21">
        <v>7</v>
      </c>
      <c r="L21" s="8">
        <f t="shared" si="14"/>
        <v>1.2165885024263329E-2</v>
      </c>
      <c r="M21">
        <f t="shared" si="7"/>
        <v>1.6968388293058933E-4</v>
      </c>
      <c r="N21">
        <f t="shared" si="8"/>
        <v>5.2510904913498832E-7</v>
      </c>
      <c r="O21" s="3">
        <f t="shared" si="15"/>
        <v>29.701853312556068</v>
      </c>
      <c r="P21">
        <f t="shared" si="9"/>
        <v>4.0489165031727512E-4</v>
      </c>
      <c r="Q21">
        <f t="shared" si="10"/>
        <v>0.99452973411466639</v>
      </c>
      <c r="R21">
        <f t="shared" si="11"/>
        <v>3.0946312641241761E-3</v>
      </c>
      <c r="S21">
        <f t="shared" si="0"/>
        <v>0</v>
      </c>
      <c r="T21">
        <f t="shared" si="1"/>
        <v>0</v>
      </c>
      <c r="U21">
        <f t="shared" si="2"/>
        <v>0</v>
      </c>
      <c r="V21">
        <f t="shared" si="3"/>
        <v>0</v>
      </c>
      <c r="W21">
        <f t="shared" si="4"/>
        <v>0</v>
      </c>
      <c r="X21">
        <f t="shared" si="5"/>
        <v>0</v>
      </c>
    </row>
    <row r="22" spans="1:24" x14ac:dyDescent="0.25">
      <c r="A22" s="1">
        <v>42137</v>
      </c>
      <c r="B22" s="5">
        <v>2098.4799800000001</v>
      </c>
      <c r="C22" s="7"/>
      <c r="E22" t="s">
        <v>35</v>
      </c>
      <c r="F22">
        <f>(A66-A2)/365.242199</f>
        <v>0.25188765222607806</v>
      </c>
      <c r="H22" s="3">
        <f t="shared" si="6"/>
        <v>2486.3515131955555</v>
      </c>
      <c r="I22" s="6">
        <f t="shared" si="12"/>
        <v>21</v>
      </c>
      <c r="J22" s="9">
        <f t="shared" si="13"/>
        <v>-0.11174605208216176</v>
      </c>
      <c r="K22">
        <v>4</v>
      </c>
      <c r="L22" s="8">
        <f t="shared" si="14"/>
        <v>1.2165885024263329E-2</v>
      </c>
      <c r="M22">
        <f t="shared" si="7"/>
        <v>9.6962218817479609E-5</v>
      </c>
      <c r="N22">
        <f t="shared" si="8"/>
        <v>2.7957351644098431E-7</v>
      </c>
      <c r="O22" s="3">
        <f t="shared" si="15"/>
        <v>30.065409653168444</v>
      </c>
      <c r="P22">
        <f t="shared" si="9"/>
        <v>2.1556852361097808E-4</v>
      </c>
      <c r="Q22">
        <f t="shared" si="10"/>
        <v>0.53597912487748722</v>
      </c>
      <c r="R22">
        <f t="shared" si="11"/>
        <v>2.8833242457791705E-3</v>
      </c>
      <c r="S22">
        <f t="shared" si="0"/>
        <v>0</v>
      </c>
      <c r="T22">
        <f t="shared" si="1"/>
        <v>0</v>
      </c>
      <c r="U22">
        <f t="shared" si="2"/>
        <v>0</v>
      </c>
      <c r="V22">
        <f t="shared" si="3"/>
        <v>0</v>
      </c>
      <c r="W22">
        <f t="shared" si="4"/>
        <v>0</v>
      </c>
      <c r="X22">
        <f t="shared" si="5"/>
        <v>0</v>
      </c>
    </row>
    <row r="23" spans="1:24" x14ac:dyDescent="0.25">
      <c r="A23" s="1">
        <v>42138</v>
      </c>
      <c r="B23" s="5">
        <v>2121.1000979999999</v>
      </c>
      <c r="C23" s="7"/>
      <c r="E23" t="s">
        <v>29</v>
      </c>
      <c r="F23">
        <f>(F18-F19)^2</f>
        <v>6.6002655902243632E-10</v>
      </c>
      <c r="H23" s="3">
        <f t="shared" si="6"/>
        <v>2516.7849291881762</v>
      </c>
      <c r="I23" s="6">
        <f t="shared" si="12"/>
        <v>22</v>
      </c>
      <c r="J23" s="9">
        <f t="shared" si="13"/>
        <v>-9.9580167057898433E-2</v>
      </c>
      <c r="K23">
        <v>6</v>
      </c>
      <c r="L23" s="8">
        <f t="shared" si="14"/>
        <v>1.2165885024263329E-2</v>
      </c>
      <c r="M23">
        <f t="shared" si="7"/>
        <v>1.4544332822621943E-4</v>
      </c>
      <c r="N23">
        <f t="shared" si="8"/>
        <v>3.90387497521059E-7</v>
      </c>
      <c r="O23" s="3">
        <f t="shared" si="15"/>
        <v>30.433415992620667</v>
      </c>
      <c r="P23">
        <f t="shared" si="9"/>
        <v>3.0101297700908499E-4</v>
      </c>
      <c r="Q23">
        <f t="shared" si="10"/>
        <v>0.7575849240265321</v>
      </c>
      <c r="R23">
        <f t="shared" si="11"/>
        <v>2.684121040697437E-3</v>
      </c>
      <c r="S23">
        <f t="shared" si="0"/>
        <v>0</v>
      </c>
      <c r="T23">
        <f t="shared" si="1"/>
        <v>0</v>
      </c>
      <c r="U23">
        <f t="shared" si="2"/>
        <v>0</v>
      </c>
      <c r="V23">
        <f t="shared" si="3"/>
        <v>0</v>
      </c>
      <c r="W23">
        <f t="shared" si="4"/>
        <v>0</v>
      </c>
      <c r="X23">
        <f t="shared" si="5"/>
        <v>0</v>
      </c>
    </row>
    <row r="24" spans="1:24" x14ac:dyDescent="0.25">
      <c r="A24" s="1">
        <v>42139</v>
      </c>
      <c r="B24" s="5">
        <v>2122.7299800000001</v>
      </c>
      <c r="C24" s="7"/>
      <c r="E24" t="s">
        <v>30</v>
      </c>
      <c r="F24" s="4">
        <f>SUMPRODUCT(P2:P46,O2:O46)</f>
        <v>0.99999999999999989</v>
      </c>
      <c r="H24" s="3">
        <f t="shared" si="6"/>
        <v>2547.5908559879231</v>
      </c>
      <c r="I24" s="6">
        <f t="shared" si="12"/>
        <v>23</v>
      </c>
      <c r="J24" s="9">
        <f t="shared" si="13"/>
        <v>-8.7414282033635105E-2</v>
      </c>
      <c r="K24">
        <v>12</v>
      </c>
      <c r="L24" s="8">
        <f t="shared" si="14"/>
        <v>1.2165885024263329E-2</v>
      </c>
      <c r="M24">
        <f t="shared" si="7"/>
        <v>2.9088665645243887E-4</v>
      </c>
      <c r="N24">
        <f t="shared" si="8"/>
        <v>7.2619615359484461E-7</v>
      </c>
      <c r="O24" s="3">
        <f t="shared" si="15"/>
        <v>30.805926799746885</v>
      </c>
      <c r="P24">
        <f t="shared" si="9"/>
        <v>5.5994228164117654E-4</v>
      </c>
      <c r="Q24">
        <f t="shared" si="10"/>
        <v>1.4265038365900757</v>
      </c>
      <c r="R24">
        <f t="shared" si="11"/>
        <v>2.4964918035474777E-3</v>
      </c>
      <c r="S24">
        <f t="shared" si="0"/>
        <v>0</v>
      </c>
      <c r="T24">
        <f t="shared" si="1"/>
        <v>0</v>
      </c>
      <c r="U24">
        <f t="shared" si="2"/>
        <v>0</v>
      </c>
      <c r="V24">
        <f t="shared" si="3"/>
        <v>0</v>
      </c>
      <c r="W24">
        <f t="shared" si="4"/>
        <v>0</v>
      </c>
      <c r="X24">
        <f t="shared" si="5"/>
        <v>0</v>
      </c>
    </row>
    <row r="25" spans="1:24" x14ac:dyDescent="0.25">
      <c r="A25" s="1">
        <v>42142</v>
      </c>
      <c r="B25" s="5">
        <v>2129.1999510000001</v>
      </c>
      <c r="C25" s="7"/>
      <c r="H25" s="3">
        <f t="shared" si="6"/>
        <v>2578.7738531980121</v>
      </c>
      <c r="I25" s="6">
        <f t="shared" si="12"/>
        <v>24</v>
      </c>
      <c r="J25" s="9">
        <f t="shared" si="13"/>
        <v>-7.5248397009371776E-2</v>
      </c>
      <c r="K25">
        <v>25</v>
      </c>
      <c r="L25" s="8">
        <f t="shared" si="14"/>
        <v>1.2165885024263329E-2</v>
      </c>
      <c r="M25">
        <f t="shared" si="7"/>
        <v>6.0601386760924755E-4</v>
      </c>
      <c r="N25">
        <f t="shared" si="8"/>
        <v>1.4059035652001334E-6</v>
      </c>
      <c r="O25" s="3">
        <f t="shared" si="15"/>
        <v>31.18299721008907</v>
      </c>
      <c r="P25">
        <f t="shared" si="9"/>
        <v>1.0840388594303013E-3</v>
      </c>
      <c r="Q25">
        <f t="shared" si="10"/>
        <v>2.7954910665494563</v>
      </c>
      <c r="R25">
        <f t="shared" si="11"/>
        <v>2.3199197911864416E-3</v>
      </c>
      <c r="S25">
        <f t="shared" si="0"/>
        <v>0</v>
      </c>
      <c r="T25">
        <f t="shared" si="1"/>
        <v>0</v>
      </c>
      <c r="U25">
        <f t="shared" si="2"/>
        <v>0</v>
      </c>
      <c r="V25">
        <f t="shared" si="3"/>
        <v>0</v>
      </c>
      <c r="W25">
        <f t="shared" si="4"/>
        <v>0</v>
      </c>
      <c r="X25">
        <f t="shared" si="5"/>
        <v>0</v>
      </c>
    </row>
    <row r="26" spans="1:24" x14ac:dyDescent="0.25">
      <c r="A26" s="1">
        <v>42143</v>
      </c>
      <c r="B26" s="5">
        <v>2127.830078</v>
      </c>
      <c r="C26" s="7"/>
      <c r="H26" s="3">
        <f t="shared" si="6"/>
        <v>2610.3385362320705</v>
      </c>
      <c r="I26" s="6">
        <f t="shared" si="12"/>
        <v>25</v>
      </c>
      <c r="J26" s="9">
        <f t="shared" si="13"/>
        <v>-6.3082511985108447E-2</v>
      </c>
      <c r="K26">
        <v>25</v>
      </c>
      <c r="L26" s="8">
        <f t="shared" si="14"/>
        <v>1.2165885024263329E-2</v>
      </c>
      <c r="M26">
        <f t="shared" si="7"/>
        <v>6.0601386760924755E-4</v>
      </c>
      <c r="N26">
        <f t="shared" si="8"/>
        <v>1.3052942344418694E-6</v>
      </c>
      <c r="O26" s="3">
        <f t="shared" si="15"/>
        <v>31.564683034058362</v>
      </c>
      <c r="P26">
        <f t="shared" si="9"/>
        <v>1.0064628244426464E-3</v>
      </c>
      <c r="Q26">
        <f t="shared" si="10"/>
        <v>2.6272086959276129</v>
      </c>
      <c r="R26">
        <f t="shared" si="11"/>
        <v>2.1539015923700143E-3</v>
      </c>
      <c r="S26">
        <f t="shared" si="0"/>
        <v>0</v>
      </c>
      <c r="T26">
        <f t="shared" si="1"/>
        <v>0</v>
      </c>
      <c r="U26">
        <f t="shared" si="2"/>
        <v>0</v>
      </c>
      <c r="V26">
        <f t="shared" si="3"/>
        <v>0</v>
      </c>
      <c r="W26">
        <f t="shared" si="4"/>
        <v>0</v>
      </c>
      <c r="X26">
        <f t="shared" si="5"/>
        <v>0</v>
      </c>
    </row>
    <row r="27" spans="1:24" x14ac:dyDescent="0.25">
      <c r="A27" s="1">
        <v>42144</v>
      </c>
      <c r="B27" s="5">
        <v>2125.8500979999999</v>
      </c>
      <c r="C27" s="7"/>
      <c r="H27" s="3">
        <f t="shared" si="6"/>
        <v>2642.289576997267</v>
      </c>
      <c r="I27" s="6">
        <f t="shared" si="12"/>
        <v>26</v>
      </c>
      <c r="J27" s="9">
        <f t="shared" si="13"/>
        <v>-5.0916626960845125E-2</v>
      </c>
      <c r="K27">
        <v>25</v>
      </c>
      <c r="L27" s="8">
        <f t="shared" si="14"/>
        <v>1.2165885024263322E-2</v>
      </c>
      <c r="M27">
        <f t="shared" si="7"/>
        <v>6.0601386760924755E-4</v>
      </c>
      <c r="N27">
        <f t="shared" si="8"/>
        <v>1.2107837855370162E-6</v>
      </c>
      <c r="O27" s="3">
        <f t="shared" si="15"/>
        <v>31.951040765196467</v>
      </c>
      <c r="P27">
        <f t="shared" si="9"/>
        <v>9.335894056882964E-4</v>
      </c>
      <c r="Q27">
        <f t="shared" si="10"/>
        <v>2.4668135558452584</v>
      </c>
      <c r="R27">
        <f t="shared" si="11"/>
        <v>1.9979473247264353E-3</v>
      </c>
      <c r="S27">
        <f t="shared" si="0"/>
        <v>0</v>
      </c>
      <c r="T27">
        <f t="shared" si="1"/>
        <v>0</v>
      </c>
      <c r="U27">
        <f t="shared" si="2"/>
        <v>0</v>
      </c>
      <c r="V27">
        <f t="shared" si="3"/>
        <v>0</v>
      </c>
      <c r="W27">
        <f t="shared" si="4"/>
        <v>0</v>
      </c>
      <c r="X27">
        <f t="shared" si="5"/>
        <v>0</v>
      </c>
    </row>
    <row r="28" spans="1:24" x14ac:dyDescent="0.25">
      <c r="A28" s="1">
        <v>42145</v>
      </c>
      <c r="B28" s="5">
        <v>2130.820068</v>
      </c>
      <c r="C28" s="7"/>
      <c r="D28" s="6" t="s">
        <v>32</v>
      </c>
      <c r="E28" s="6" t="s">
        <v>33</v>
      </c>
      <c r="F28" t="s">
        <v>34</v>
      </c>
      <c r="H28" s="3">
        <f t="shared" si="6"/>
        <v>2674.6317045858045</v>
      </c>
      <c r="I28" s="6">
        <f t="shared" si="12"/>
        <v>27</v>
      </c>
      <c r="J28" s="9">
        <f t="shared" si="13"/>
        <v>-3.8750741936581803E-2</v>
      </c>
      <c r="K28">
        <v>41</v>
      </c>
      <c r="L28" s="8">
        <f t="shared" si="14"/>
        <v>1.2165885024263322E-2</v>
      </c>
      <c r="M28">
        <f t="shared" si="7"/>
        <v>9.9386274287916604E-4</v>
      </c>
      <c r="N28">
        <f t="shared" si="8"/>
        <v>1.840217171791005E-6</v>
      </c>
      <c r="O28" s="3">
        <f t="shared" si="15"/>
        <v>32.342127588537551</v>
      </c>
      <c r="P28">
        <f t="shared" si="9"/>
        <v>1.4189215913457068E-3</v>
      </c>
      <c r="Q28">
        <f t="shared" si="10"/>
        <v>3.7950926745345703</v>
      </c>
      <c r="R28">
        <f t="shared" si="11"/>
        <v>1.8515807992359151E-3</v>
      </c>
      <c r="S28">
        <f t="shared" si="0"/>
        <v>0</v>
      </c>
      <c r="T28">
        <f t="shared" si="1"/>
        <v>0</v>
      </c>
      <c r="U28">
        <f t="shared" si="2"/>
        <v>0</v>
      </c>
      <c r="V28">
        <f t="shared" si="3"/>
        <v>0</v>
      </c>
      <c r="W28">
        <f t="shared" si="4"/>
        <v>0</v>
      </c>
      <c r="X28">
        <f t="shared" si="5"/>
        <v>0</v>
      </c>
    </row>
    <row r="29" spans="1:24" x14ac:dyDescent="0.25">
      <c r="A29" s="1">
        <v>42146</v>
      </c>
      <c r="B29" s="5">
        <v>2126.0600589999999</v>
      </c>
      <c r="C29" s="7"/>
      <c r="D29" s="2">
        <f>SUMPRODUCT($O$2:$O$46,S2:S46)</f>
        <v>137.13395170246949</v>
      </c>
      <c r="E29" s="12">
        <v>2700</v>
      </c>
      <c r="F29" s="13">
        <f t="shared" ref="F29:F34" si="16">NRImpliedVol("c",$F$14,E29,$F$22,$F$20,($F$20-$F$21),D29,0.000001)</f>
        <v>0.17043970372604553</v>
      </c>
      <c r="H29" s="3">
        <f t="shared" si="6"/>
        <v>2707.3697059748747</v>
      </c>
      <c r="I29" s="6">
        <f t="shared" si="12"/>
        <v>28</v>
      </c>
      <c r="J29" s="9">
        <f t="shared" si="13"/>
        <v>-2.6584856912318482E-2</v>
      </c>
      <c r="K29">
        <v>32</v>
      </c>
      <c r="L29" s="8">
        <f t="shared" si="14"/>
        <v>1.2165885024263322E-2</v>
      </c>
      <c r="M29">
        <f t="shared" si="7"/>
        <v>7.7569775053983687E-4</v>
      </c>
      <c r="N29">
        <f t="shared" si="8"/>
        <v>1.3298094121511988E-6</v>
      </c>
      <c r="O29" s="3">
        <f t="shared" si="15"/>
        <v>32.738001389070178</v>
      </c>
      <c r="P29">
        <f t="shared" si="9"/>
        <v>1.0253655471759581E-3</v>
      </c>
      <c r="Q29">
        <f t="shared" si="10"/>
        <v>2.7760436199745402</v>
      </c>
      <c r="R29">
        <f t="shared" si="11"/>
        <v>1.7143396525589186E-3</v>
      </c>
      <c r="S29">
        <f t="shared" si="0"/>
        <v>7.5566425994533296E-3</v>
      </c>
      <c r="T29">
        <f t="shared" si="1"/>
        <v>0</v>
      </c>
      <c r="U29">
        <f t="shared" si="2"/>
        <v>0</v>
      </c>
      <c r="V29">
        <f t="shared" si="3"/>
        <v>0</v>
      </c>
      <c r="W29">
        <f t="shared" si="4"/>
        <v>0</v>
      </c>
      <c r="X29">
        <f t="shared" si="5"/>
        <v>0</v>
      </c>
    </row>
    <row r="30" spans="1:24" x14ac:dyDescent="0.25">
      <c r="A30" s="1">
        <v>42150</v>
      </c>
      <c r="B30" s="5">
        <v>2104.1999510000001</v>
      </c>
      <c r="C30" s="7"/>
      <c r="D30" s="2">
        <f>SUMPRODUCT($O$2:$O$46,T2:T46)</f>
        <v>71.904547226920471</v>
      </c>
      <c r="E30" s="12">
        <v>2800</v>
      </c>
      <c r="F30" s="13">
        <f t="shared" si="16"/>
        <v>0.14810730904644812</v>
      </c>
      <c r="H30" s="3">
        <f t="shared" si="6"/>
        <v>2740.5084267351813</v>
      </c>
      <c r="I30" s="6">
        <f t="shared" si="12"/>
        <v>29</v>
      </c>
      <c r="J30" s="9">
        <f t="shared" si="13"/>
        <v>-1.4418971888055158E-2</v>
      </c>
      <c r="K30">
        <v>43</v>
      </c>
      <c r="L30" s="8">
        <f t="shared" si="14"/>
        <v>1.2165885024263324E-2</v>
      </c>
      <c r="M30">
        <f t="shared" si="7"/>
        <v>1.0423438522879059E-3</v>
      </c>
      <c r="N30">
        <f t="shared" si="8"/>
        <v>1.6529232889740045E-6</v>
      </c>
      <c r="O30" s="3">
        <f t="shared" si="15"/>
        <v>33.138720760306569</v>
      </c>
      <c r="P30">
        <f t="shared" si="9"/>
        <v>1.2745063895261487E-3</v>
      </c>
      <c r="Q30">
        <f t="shared" si="10"/>
        <v>3.4927955004242417</v>
      </c>
      <c r="R30">
        <f t="shared" si="11"/>
        <v>1.5857754476566437E-3</v>
      </c>
      <c r="S30">
        <f t="shared" si="0"/>
        <v>5.1628248703640398E-2</v>
      </c>
      <c r="T30">
        <f t="shared" si="1"/>
        <v>0</v>
      </c>
      <c r="U30">
        <f t="shared" si="2"/>
        <v>0</v>
      </c>
      <c r="V30">
        <f t="shared" si="3"/>
        <v>0</v>
      </c>
      <c r="W30">
        <f t="shared" si="4"/>
        <v>0</v>
      </c>
      <c r="X30">
        <f t="shared" si="5"/>
        <v>0</v>
      </c>
    </row>
    <row r="31" spans="1:24" x14ac:dyDescent="0.25">
      <c r="A31" s="1">
        <v>42151</v>
      </c>
      <c r="B31" s="5">
        <v>2123.4799800000001</v>
      </c>
      <c r="C31" s="7"/>
      <c r="D31" s="2">
        <f>SUMPRODUCT($O$2:$O$46,U2:U46)</f>
        <v>25.369466277773647</v>
      </c>
      <c r="E31" s="12">
        <v>2900</v>
      </c>
      <c r="F31" s="13">
        <f t="shared" si="16"/>
        <v>0.12362913998553084</v>
      </c>
      <c r="H31" s="3">
        <f t="shared" si="6"/>
        <v>2774.0527717481359</v>
      </c>
      <c r="I31" s="6">
        <f t="shared" si="12"/>
        <v>30</v>
      </c>
      <c r="J31" s="9">
        <f t="shared" si="13"/>
        <v>-2.2530868637918346E-3</v>
      </c>
      <c r="K31">
        <v>65</v>
      </c>
      <c r="L31" s="8">
        <f t="shared" si="14"/>
        <v>1.2165885024263324E-2</v>
      </c>
      <c r="M31">
        <f t="shared" si="7"/>
        <v>1.5756360557840437E-3</v>
      </c>
      <c r="N31">
        <f t="shared" si="8"/>
        <v>2.3090217559391432E-6</v>
      </c>
      <c r="O31" s="3">
        <f t="shared" si="15"/>
        <v>33.544345012954636</v>
      </c>
      <c r="P31">
        <f t="shared" si="9"/>
        <v>1.7803990064935236E-3</v>
      </c>
      <c r="Q31">
        <f t="shared" si="10"/>
        <v>4.9389207987809867</v>
      </c>
      <c r="R31">
        <f t="shared" si="11"/>
        <v>1.4654537432441297E-3</v>
      </c>
      <c r="S31">
        <f t="shared" si="0"/>
        <v>0.13184348124847284</v>
      </c>
      <c r="T31">
        <f t="shared" si="1"/>
        <v>0</v>
      </c>
      <c r="U31">
        <f t="shared" si="2"/>
        <v>0</v>
      </c>
      <c r="V31">
        <f t="shared" si="3"/>
        <v>0</v>
      </c>
      <c r="W31">
        <f t="shared" si="4"/>
        <v>0</v>
      </c>
      <c r="X31">
        <f t="shared" si="5"/>
        <v>0</v>
      </c>
    </row>
    <row r="32" spans="1:24" x14ac:dyDescent="0.25">
      <c r="A32" s="1">
        <v>42152</v>
      </c>
      <c r="B32" s="5">
        <v>2120.790039</v>
      </c>
      <c r="C32" s="7"/>
      <c r="D32" s="2">
        <f>SUMPRODUCT($O$2:$O$46,V2:V46)</f>
        <v>5.8106810462763159</v>
      </c>
      <c r="E32" s="12">
        <v>3000</v>
      </c>
      <c r="F32" s="13">
        <f t="shared" si="16"/>
        <v>0.1095361445261636</v>
      </c>
      <c r="H32" s="3">
        <f t="shared" si="6"/>
        <v>2808.0077059318342</v>
      </c>
      <c r="I32" s="6">
        <f t="shared" si="12"/>
        <v>31</v>
      </c>
      <c r="J32" s="9">
        <f t="shared" si="13"/>
        <v>9.912798160471489E-3</v>
      </c>
      <c r="K32">
        <v>73</v>
      </c>
      <c r="L32" s="8">
        <f t="shared" si="14"/>
        <v>1.2165885024263324E-2</v>
      </c>
      <c r="M32">
        <f t="shared" si="7"/>
        <v>1.769560493419003E-3</v>
      </c>
      <c r="N32">
        <f t="shared" si="8"/>
        <v>2.3941341826518488E-6</v>
      </c>
      <c r="O32" s="3">
        <f t="shared" si="15"/>
        <v>33.954934183698242</v>
      </c>
      <c r="P32">
        <f t="shared" si="9"/>
        <v>1.8460259671619478E-3</v>
      </c>
      <c r="Q32">
        <f t="shared" si="10"/>
        <v>5.1836551411410161</v>
      </c>
      <c r="R32">
        <f t="shared" si="11"/>
        <v>1.352954132710148E-3</v>
      </c>
      <c r="S32">
        <f t="shared" si="0"/>
        <v>0.19938502980375739</v>
      </c>
      <c r="T32">
        <f t="shared" si="1"/>
        <v>1.4782433087562608E-2</v>
      </c>
      <c r="U32">
        <f t="shared" si="2"/>
        <v>0</v>
      </c>
      <c r="V32">
        <f t="shared" si="3"/>
        <v>0</v>
      </c>
      <c r="W32">
        <f t="shared" si="4"/>
        <v>0</v>
      </c>
      <c r="X32">
        <f t="shared" si="5"/>
        <v>0</v>
      </c>
    </row>
    <row r="33" spans="1:24" x14ac:dyDescent="0.25">
      <c r="A33" s="1">
        <v>42153</v>
      </c>
      <c r="B33" s="5">
        <v>2107.389893</v>
      </c>
      <c r="C33" s="7"/>
      <c r="D33" s="2">
        <f>SUMPRODUCT($O$2:$O$46,W2:W46)</f>
        <v>0.90222818011104955</v>
      </c>
      <c r="E33" s="12">
        <v>3100</v>
      </c>
      <c r="F33" s="13">
        <f t="shared" si="16"/>
        <v>0.1027209107580738</v>
      </c>
      <c r="H33" s="3">
        <f t="shared" si="6"/>
        <v>2842.3782549759139</v>
      </c>
      <c r="I33" s="6">
        <f t="shared" si="12"/>
        <v>32</v>
      </c>
      <c r="J33" s="9">
        <f t="shared" si="13"/>
        <v>2.2078683184734813E-2</v>
      </c>
      <c r="K33">
        <v>90</v>
      </c>
      <c r="L33" s="8">
        <f t="shared" si="14"/>
        <v>1.2165885024263324E-2</v>
      </c>
      <c r="M33">
        <f t="shared" si="7"/>
        <v>2.1816499233932914E-3</v>
      </c>
      <c r="N33">
        <f t="shared" si="8"/>
        <v>2.7224160423599517E-6</v>
      </c>
      <c r="O33" s="3">
        <f t="shared" si="15"/>
        <v>34.37054904407978</v>
      </c>
      <c r="P33">
        <f t="shared" si="9"/>
        <v>2.0991516448957341E-3</v>
      </c>
      <c r="Q33">
        <f t="shared" si="10"/>
        <v>5.9665829893485558</v>
      </c>
      <c r="R33">
        <f t="shared" si="11"/>
        <v>1.2478702532281458E-3</v>
      </c>
      <c r="S33">
        <f t="shared" si="0"/>
        <v>0.298873548130074</v>
      </c>
      <c r="T33">
        <f t="shared" si="1"/>
        <v>8.8958383640500557E-2</v>
      </c>
      <c r="U33">
        <f t="shared" si="2"/>
        <v>0</v>
      </c>
      <c r="V33">
        <f t="shared" si="3"/>
        <v>0</v>
      </c>
      <c r="W33">
        <f t="shared" si="4"/>
        <v>0</v>
      </c>
      <c r="X33">
        <f t="shared" si="5"/>
        <v>0</v>
      </c>
    </row>
    <row r="34" spans="1:24" x14ac:dyDescent="0.25">
      <c r="A34" s="1">
        <v>42156</v>
      </c>
      <c r="B34" s="5">
        <v>2111.7299800000001</v>
      </c>
      <c r="C34" s="7"/>
      <c r="D34" s="2">
        <f>SUMPRODUCT($O$2:$O$46,X2:X46)</f>
        <v>0.11186692416445262</v>
      </c>
      <c r="E34" s="12">
        <v>3200</v>
      </c>
      <c r="F34" s="13">
        <f t="shared" si="16"/>
        <v>0.10046372125508814</v>
      </c>
      <c r="H34" s="3">
        <f t="shared" si="6"/>
        <v>2877.1695060854095</v>
      </c>
      <c r="I34" s="6">
        <f t="shared" si="12"/>
        <v>33</v>
      </c>
      <c r="J34" s="9">
        <f t="shared" si="13"/>
        <v>3.4244568208998134E-2</v>
      </c>
      <c r="K34">
        <v>140</v>
      </c>
      <c r="L34" s="8">
        <f t="shared" si="14"/>
        <v>1.2165885024263322E-2</v>
      </c>
      <c r="M34">
        <f t="shared" si="7"/>
        <v>3.3936776586117865E-3</v>
      </c>
      <c r="N34">
        <f t="shared" si="8"/>
        <v>3.902083714081135E-6</v>
      </c>
      <c r="O34" s="3">
        <f t="shared" si="15"/>
        <v>34.791251109495533</v>
      </c>
      <c r="P34">
        <f t="shared" si="9"/>
        <v>3.0087485966449746E-3</v>
      </c>
      <c r="Q34">
        <f t="shared" si="10"/>
        <v>8.6566797137441913</v>
      </c>
      <c r="R34">
        <f t="shared" si="11"/>
        <v>1.1498097658683697E-3</v>
      </c>
      <c r="S34">
        <f t="shared" si="0"/>
        <v>0.53305850280275902</v>
      </c>
      <c r="T34">
        <f t="shared" si="1"/>
        <v>0.23218364313826156</v>
      </c>
      <c r="U34">
        <f t="shared" si="2"/>
        <v>0</v>
      </c>
      <c r="V34">
        <f t="shared" si="3"/>
        <v>0</v>
      </c>
      <c r="W34">
        <f t="shared" si="4"/>
        <v>0</v>
      </c>
      <c r="X34">
        <f t="shared" si="5"/>
        <v>0</v>
      </c>
    </row>
    <row r="35" spans="1:24" x14ac:dyDescent="0.25">
      <c r="A35" s="1">
        <v>42157</v>
      </c>
      <c r="B35" s="5">
        <v>2109.6000979999999</v>
      </c>
      <c r="C35" s="7"/>
      <c r="H35" s="3">
        <f t="shared" si="6"/>
        <v>2912.386608733716</v>
      </c>
      <c r="I35" s="6">
        <f t="shared" si="12"/>
        <v>34</v>
      </c>
      <c r="J35" s="9">
        <f t="shared" si="13"/>
        <v>4.6410453233261456E-2</v>
      </c>
      <c r="K35">
        <v>167</v>
      </c>
      <c r="L35" s="8">
        <f t="shared" si="14"/>
        <v>1.2165885024263322E-2</v>
      </c>
      <c r="M35">
        <f t="shared" si="7"/>
        <v>4.0481726356297737E-3</v>
      </c>
      <c r="N35">
        <f t="shared" si="8"/>
        <v>4.2845628737434695E-6</v>
      </c>
      <c r="O35" s="3">
        <f t="shared" si="15"/>
        <v>35.217102648306536</v>
      </c>
      <c r="P35">
        <f t="shared" si="9"/>
        <v>3.3036637545969319E-3</v>
      </c>
      <c r="Q35">
        <f t="shared" si="10"/>
        <v>9.6215460786470537</v>
      </c>
      <c r="R35">
        <f t="shared" si="11"/>
        <v>1.0583943076026747E-3</v>
      </c>
      <c r="S35">
        <f t="shared" si="0"/>
        <v>0.70165394123533775</v>
      </c>
      <c r="T35">
        <f t="shared" si="1"/>
        <v>0.37128756577564453</v>
      </c>
      <c r="U35">
        <f t="shared" si="2"/>
        <v>4.0921190315951358E-2</v>
      </c>
      <c r="V35">
        <f t="shared" si="3"/>
        <v>0</v>
      </c>
      <c r="W35">
        <f t="shared" si="4"/>
        <v>0</v>
      </c>
      <c r="X35">
        <f t="shared" si="5"/>
        <v>0</v>
      </c>
    </row>
    <row r="36" spans="1:24" x14ac:dyDescent="0.25">
      <c r="A36" s="1">
        <v>42158</v>
      </c>
      <c r="B36" s="5">
        <v>2114.070068</v>
      </c>
      <c r="C36" s="7"/>
      <c r="H36" s="3">
        <f t="shared" si="6"/>
        <v>2948.0347754247628</v>
      </c>
      <c r="I36" s="6">
        <f t="shared" si="12"/>
        <v>35</v>
      </c>
      <c r="J36" s="9">
        <f t="shared" si="13"/>
        <v>5.8576338257524778E-2</v>
      </c>
      <c r="K36">
        <v>122</v>
      </c>
      <c r="L36" s="8">
        <f t="shared" si="14"/>
        <v>1.2165885024263322E-2</v>
      </c>
      <c r="M36">
        <f t="shared" si="7"/>
        <v>2.9573476739331284E-3</v>
      </c>
      <c r="N36">
        <f t="shared" si="8"/>
        <v>2.878266470543958E-6</v>
      </c>
      <c r="O36" s="3">
        <f t="shared" si="15"/>
        <v>35.648166691046754</v>
      </c>
      <c r="P36">
        <f t="shared" si="9"/>
        <v>2.2193219927006806E-3</v>
      </c>
      <c r="Q36">
        <f t="shared" si="10"/>
        <v>6.5426384123465882</v>
      </c>
      <c r="R36">
        <f t="shared" si="11"/>
        <v>9.7325941617003179E-4</v>
      </c>
      <c r="S36">
        <f t="shared" si="0"/>
        <v>0.55046903205475028</v>
      </c>
      <c r="T36">
        <f t="shared" si="1"/>
        <v>0.32853683278468221</v>
      </c>
      <c r="U36">
        <f t="shared" si="2"/>
        <v>0.10660463351461416</v>
      </c>
      <c r="V36">
        <f t="shared" si="3"/>
        <v>0</v>
      </c>
      <c r="W36">
        <f t="shared" si="4"/>
        <v>0</v>
      </c>
      <c r="X36">
        <f t="shared" si="5"/>
        <v>0</v>
      </c>
    </row>
    <row r="37" spans="1:24" x14ac:dyDescent="0.25">
      <c r="A37" s="1">
        <v>42159</v>
      </c>
      <c r="B37" s="5">
        <v>2095.8400879999999</v>
      </c>
      <c r="C37" s="7"/>
      <c r="H37" s="3">
        <f t="shared" si="6"/>
        <v>2984.1192824645195</v>
      </c>
      <c r="I37" s="6">
        <f t="shared" si="12"/>
        <v>36</v>
      </c>
      <c r="J37" s="9">
        <f t="shared" si="13"/>
        <v>7.07422232817881E-2</v>
      </c>
      <c r="K37">
        <v>108</v>
      </c>
      <c r="L37" s="8">
        <f t="shared" si="14"/>
        <v>1.2165885024263322E-2</v>
      </c>
      <c r="M37">
        <f t="shared" si="7"/>
        <v>2.6179799080719495E-3</v>
      </c>
      <c r="N37">
        <f t="shared" si="8"/>
        <v>2.3406165314308027E-6</v>
      </c>
      <c r="O37" s="3">
        <f t="shared" si="15"/>
        <v>36.084507039756772</v>
      </c>
      <c r="P37">
        <f t="shared" si="9"/>
        <v>1.8047605382768644E-3</v>
      </c>
      <c r="Q37">
        <f t="shared" si="10"/>
        <v>5.3856207225030364</v>
      </c>
      <c r="R37">
        <f t="shared" si="11"/>
        <v>8.9405442884188705E-4</v>
      </c>
      <c r="S37">
        <f t="shared" si="0"/>
        <v>0.51276726915550275</v>
      </c>
      <c r="T37">
        <f t="shared" si="1"/>
        <v>0.3322912153278163</v>
      </c>
      <c r="U37">
        <f t="shared" si="2"/>
        <v>0.15181516150012986</v>
      </c>
      <c r="V37">
        <f t="shared" si="3"/>
        <v>0</v>
      </c>
      <c r="W37">
        <f t="shared" si="4"/>
        <v>0</v>
      </c>
      <c r="X37">
        <f t="shared" si="5"/>
        <v>0</v>
      </c>
    </row>
    <row r="38" spans="1:24" x14ac:dyDescent="0.25">
      <c r="A38" s="1">
        <v>42160</v>
      </c>
      <c r="B38" s="5">
        <v>2092.830078</v>
      </c>
      <c r="C38" s="7"/>
      <c r="H38" s="3">
        <f t="shared" si="6"/>
        <v>3020.6454707419457</v>
      </c>
      <c r="I38" s="6">
        <f t="shared" si="12"/>
        <v>37</v>
      </c>
      <c r="J38" s="9">
        <f t="shared" si="13"/>
        <v>8.2908108306051428E-2</v>
      </c>
      <c r="K38">
        <v>67</v>
      </c>
      <c r="L38" s="8">
        <f t="shared" si="14"/>
        <v>1.2165885024263329E-2</v>
      </c>
      <c r="M38">
        <f t="shared" si="7"/>
        <v>1.6241171651927835E-3</v>
      </c>
      <c r="N38">
        <f t="shared" si="8"/>
        <v>1.3324945137429543E-6</v>
      </c>
      <c r="O38" s="3">
        <f t="shared" si="15"/>
        <v>36.526188277426172</v>
      </c>
      <c r="P38">
        <f t="shared" si="9"/>
        <v>1.0274359270647569E-3</v>
      </c>
      <c r="Q38">
        <f t="shared" si="10"/>
        <v>3.1035196795657103</v>
      </c>
      <c r="R38">
        <f t="shared" si="11"/>
        <v>8.2044235619219412E-4</v>
      </c>
      <c r="S38">
        <f t="shared" si="0"/>
        <v>0.32944267649086639</v>
      </c>
      <c r="T38">
        <f t="shared" si="1"/>
        <v>0.22669908378439069</v>
      </c>
      <c r="U38">
        <f t="shared" si="2"/>
        <v>0.12395549107791499</v>
      </c>
      <c r="V38">
        <f t="shared" si="3"/>
        <v>2.1211898371439296E-2</v>
      </c>
      <c r="W38">
        <f t="shared" si="4"/>
        <v>0</v>
      </c>
      <c r="X38">
        <f t="shared" si="5"/>
        <v>0</v>
      </c>
    </row>
    <row r="39" spans="1:24" x14ac:dyDescent="0.25">
      <c r="A39" s="1">
        <v>42163</v>
      </c>
      <c r="B39" s="5">
        <v>2079.280029</v>
      </c>
      <c r="C39" s="7"/>
      <c r="H39" s="3">
        <f t="shared" si="6"/>
        <v>3057.6187465194985</v>
      </c>
      <c r="I39" s="6">
        <f t="shared" si="12"/>
        <v>38</v>
      </c>
      <c r="J39" s="9">
        <f t="shared" si="13"/>
        <v>9.5073993330314757E-2</v>
      </c>
      <c r="K39">
        <v>40</v>
      </c>
      <c r="L39" s="8">
        <f t="shared" si="14"/>
        <v>1.2165885024263329E-2</v>
      </c>
      <c r="M39">
        <f t="shared" si="7"/>
        <v>9.6962218817479612E-4</v>
      </c>
      <c r="N39">
        <f t="shared" si="8"/>
        <v>7.2925258790314582E-7</v>
      </c>
      <c r="O39" s="3">
        <f t="shared" si="15"/>
        <v>36.973275777552772</v>
      </c>
      <c r="P39">
        <f t="shared" si="9"/>
        <v>5.6229898208885114E-4</v>
      </c>
      <c r="Q39">
        <f t="shared" si="10"/>
        <v>1.719295908783703</v>
      </c>
      <c r="R39">
        <f t="shared" si="11"/>
        <v>7.5209973203674426E-4</v>
      </c>
      <c r="S39">
        <f t="shared" si="0"/>
        <v>0.20108865714380486</v>
      </c>
      <c r="T39">
        <f t="shared" si="1"/>
        <v>0.14485875893491976</v>
      </c>
      <c r="U39">
        <f t="shared" si="2"/>
        <v>8.8628860726034639E-2</v>
      </c>
      <c r="V39">
        <f t="shared" si="3"/>
        <v>3.2398962517149528E-2</v>
      </c>
      <c r="W39">
        <f t="shared" si="4"/>
        <v>0</v>
      </c>
      <c r="X39">
        <f t="shared" si="5"/>
        <v>0</v>
      </c>
    </row>
    <row r="40" spans="1:24" x14ac:dyDescent="0.25">
      <c r="A40" s="1">
        <v>42164</v>
      </c>
      <c r="B40" s="5">
        <v>2080.1499020000001</v>
      </c>
      <c r="C40" s="7"/>
      <c r="H40" s="3">
        <f t="shared" si="6"/>
        <v>3095.0445822333181</v>
      </c>
      <c r="I40" s="6">
        <f t="shared" si="12"/>
        <v>39</v>
      </c>
      <c r="J40" s="9">
        <f t="shared" si="13"/>
        <v>0.10723987835457809</v>
      </c>
      <c r="K40">
        <v>30</v>
      </c>
      <c r="L40" s="8">
        <f t="shared" si="14"/>
        <v>1.2165885024263329E-2</v>
      </c>
      <c r="M40">
        <f t="shared" si="7"/>
        <v>7.2721664113109714E-4</v>
      </c>
      <c r="N40">
        <f t="shared" si="8"/>
        <v>5.0084605674132157E-7</v>
      </c>
      <c r="O40" s="3">
        <f t="shared" si="15"/>
        <v>37.425835713819652</v>
      </c>
      <c r="P40">
        <f t="shared" si="9"/>
        <v>3.8618337810583615E-4</v>
      </c>
      <c r="Q40">
        <f t="shared" si="10"/>
        <v>1.1952547721550293</v>
      </c>
      <c r="R40">
        <f t="shared" si="11"/>
        <v>6.8871644076009641E-4</v>
      </c>
      <c r="S40">
        <f t="shared" si="0"/>
        <v>0.15255965126927157</v>
      </c>
      <c r="T40">
        <f t="shared" si="1"/>
        <v>0.11394131345868797</v>
      </c>
      <c r="U40">
        <f t="shared" si="2"/>
        <v>7.5322975648104348E-2</v>
      </c>
      <c r="V40">
        <f t="shared" si="3"/>
        <v>3.6704637837520732E-2</v>
      </c>
      <c r="W40">
        <f t="shared" si="4"/>
        <v>0</v>
      </c>
      <c r="X40">
        <f t="shared" si="5"/>
        <v>0</v>
      </c>
    </row>
    <row r="41" spans="1:24" x14ac:dyDescent="0.25">
      <c r="A41" s="1">
        <v>42165</v>
      </c>
      <c r="B41" s="5">
        <v>2105.1999510000001</v>
      </c>
      <c r="C41" s="7"/>
      <c r="H41" s="3">
        <f t="shared" si="6"/>
        <v>3132.9285173032044</v>
      </c>
      <c r="I41" s="6">
        <f t="shared" si="12"/>
        <v>40</v>
      </c>
      <c r="J41" s="9">
        <f t="shared" si="13"/>
        <v>0.11940576337884141</v>
      </c>
      <c r="K41">
        <v>25</v>
      </c>
      <c r="L41" s="8">
        <f t="shared" si="14"/>
        <v>1.2165885024263329E-2</v>
      </c>
      <c r="M41">
        <f t="shared" si="7"/>
        <v>6.0601386760924755E-4</v>
      </c>
      <c r="N41">
        <f t="shared" si="8"/>
        <v>3.8178602364904832E-7</v>
      </c>
      <c r="O41" s="3">
        <f t="shared" si="15"/>
        <v>37.88393506988632</v>
      </c>
      <c r="P41">
        <f t="shared" si="9"/>
        <v>2.9438070708927251E-4</v>
      </c>
      <c r="Q41">
        <f t="shared" si="10"/>
        <v>0.92227371218386345</v>
      </c>
      <c r="R41">
        <f t="shared" si="11"/>
        <v>6.2999552329588043E-4</v>
      </c>
      <c r="S41">
        <f t="shared" si="0"/>
        <v>0.12744580304282768</v>
      </c>
      <c r="T41">
        <f t="shared" si="1"/>
        <v>9.8007732333900421E-2</v>
      </c>
      <c r="U41">
        <f t="shared" si="2"/>
        <v>6.8569661624973174E-2</v>
      </c>
      <c r="V41">
        <f t="shared" si="3"/>
        <v>3.913159091604592E-2</v>
      </c>
      <c r="W41">
        <f t="shared" si="4"/>
        <v>9.6935202071186683E-3</v>
      </c>
      <c r="X41">
        <f t="shared" si="5"/>
        <v>0</v>
      </c>
    </row>
    <row r="42" spans="1:24" x14ac:dyDescent="0.25">
      <c r="A42" s="1">
        <v>42166</v>
      </c>
      <c r="B42" s="5">
        <v>2108.860107</v>
      </c>
      <c r="C42" s="7"/>
      <c r="H42" s="3">
        <f t="shared" si="6"/>
        <v>3171.2761589525103</v>
      </c>
      <c r="I42" s="6">
        <f t="shared" si="12"/>
        <v>41</v>
      </c>
      <c r="J42" s="9">
        <f t="shared" si="13"/>
        <v>0.13157164840310473</v>
      </c>
      <c r="K42">
        <v>2</v>
      </c>
      <c r="L42" s="8">
        <f t="shared" si="14"/>
        <v>1.2165885024263315E-2</v>
      </c>
      <c r="M42">
        <f t="shared" si="7"/>
        <v>4.8481109408739805E-5</v>
      </c>
      <c r="N42">
        <f t="shared" si="8"/>
        <v>2.7908294283923871E-8</v>
      </c>
      <c r="O42" s="3">
        <f t="shared" si="15"/>
        <v>38.347641649305842</v>
      </c>
      <c r="P42">
        <f t="shared" si="9"/>
        <v>2.1519026093289234E-5</v>
      </c>
      <c r="Q42">
        <f t="shared" si="10"/>
        <v>6.8242774413525123E-2</v>
      </c>
      <c r="R42">
        <f t="shared" si="11"/>
        <v>5.7565296306715246E-4</v>
      </c>
      <c r="S42">
        <f t="shared" si="0"/>
        <v>1.0141403961644193E-2</v>
      </c>
      <c r="T42">
        <f t="shared" si="1"/>
        <v>7.9895013523152703E-3</v>
      </c>
      <c r="U42">
        <f t="shared" si="2"/>
        <v>5.8375987429863463E-3</v>
      </c>
      <c r="V42">
        <f t="shared" si="3"/>
        <v>3.6856961336574233E-3</v>
      </c>
      <c r="W42">
        <f t="shared" si="4"/>
        <v>1.5337935243284998E-3</v>
      </c>
      <c r="X42">
        <f t="shared" si="5"/>
        <v>0</v>
      </c>
    </row>
    <row r="43" spans="1:24" x14ac:dyDescent="0.25">
      <c r="A43" s="1">
        <v>42167</v>
      </c>
      <c r="B43" s="5">
        <v>2094.110107</v>
      </c>
      <c r="C43" s="7"/>
      <c r="H43" s="3">
        <f t="shared" si="6"/>
        <v>3210.0931830380714</v>
      </c>
      <c r="I43" s="6">
        <f t="shared" si="12"/>
        <v>42</v>
      </c>
      <c r="J43" s="9">
        <f t="shared" si="13"/>
        <v>0.14373753342736806</v>
      </c>
      <c r="K43">
        <v>7</v>
      </c>
      <c r="L43" s="8">
        <f t="shared" si="14"/>
        <v>1.2165885024263329E-2</v>
      </c>
      <c r="M43">
        <f t="shared" si="7"/>
        <v>1.6968388293058933E-4</v>
      </c>
      <c r="N43">
        <f t="shared" si="8"/>
        <v>8.9154873623214426E-8</v>
      </c>
      <c r="O43" s="3">
        <f t="shared" si="15"/>
        <v>38.817024085561115</v>
      </c>
      <c r="P43">
        <f t="shared" si="9"/>
        <v>6.8743937996489863E-5</v>
      </c>
      <c r="Q43">
        <f t="shared" si="10"/>
        <v>0.22067444673772396</v>
      </c>
      <c r="R43">
        <f t="shared" si="11"/>
        <v>5.2541745322791801E-4</v>
      </c>
      <c r="S43">
        <f t="shared" si="0"/>
        <v>3.5065814147201335E-2</v>
      </c>
      <c r="T43">
        <f t="shared" si="1"/>
        <v>2.819142034755235E-2</v>
      </c>
      <c r="U43">
        <f t="shared" si="2"/>
        <v>2.1317026547903361E-2</v>
      </c>
      <c r="V43">
        <f t="shared" si="3"/>
        <v>1.4442632748254376E-2</v>
      </c>
      <c r="W43">
        <f t="shared" si="4"/>
        <v>7.5682389486053901E-3</v>
      </c>
      <c r="X43">
        <f t="shared" si="5"/>
        <v>6.9384514895640364E-4</v>
      </c>
    </row>
    <row r="44" spans="1:24" x14ac:dyDescent="0.25">
      <c r="A44" s="1">
        <v>42170</v>
      </c>
      <c r="B44" s="5">
        <v>2084.429932</v>
      </c>
      <c r="C44" s="7"/>
      <c r="H44" s="3">
        <f t="shared" si="6"/>
        <v>3249.3853348902899</v>
      </c>
      <c r="I44" s="6">
        <f t="shared" si="12"/>
        <v>43</v>
      </c>
      <c r="J44" s="9">
        <f t="shared" si="13"/>
        <v>0.15590341845163139</v>
      </c>
      <c r="K44">
        <v>1</v>
      </c>
      <c r="L44" s="8">
        <f t="shared" si="14"/>
        <v>1.2165885024263329E-2</v>
      </c>
      <c r="M44">
        <f t="shared" si="7"/>
        <v>2.4240554704369902E-5</v>
      </c>
      <c r="N44">
        <f t="shared" si="8"/>
        <v>1.1611956473084826E-8</v>
      </c>
      <c r="O44" s="3">
        <f t="shared" si="15"/>
        <v>39.292151852218467</v>
      </c>
      <c r="P44">
        <f t="shared" si="9"/>
        <v>8.9535387507501469E-6</v>
      </c>
      <c r="Q44">
        <f t="shared" si="10"/>
        <v>2.9093497512059453E-2</v>
      </c>
      <c r="R44">
        <f t="shared" si="11"/>
        <v>4.7903014657463722E-4</v>
      </c>
      <c r="S44">
        <f t="shared" si="0"/>
        <v>4.9189428850340573E-3</v>
      </c>
      <c r="T44">
        <f t="shared" si="1"/>
        <v>4.0235890099590424E-3</v>
      </c>
      <c r="U44">
        <f t="shared" si="2"/>
        <v>3.1282351348840276E-3</v>
      </c>
      <c r="V44">
        <f t="shared" si="3"/>
        <v>2.2328812598090128E-3</v>
      </c>
      <c r="W44">
        <f t="shared" si="4"/>
        <v>1.3375273847339984E-3</v>
      </c>
      <c r="X44">
        <f t="shared" si="5"/>
        <v>4.4217350965898361E-4</v>
      </c>
    </row>
    <row r="45" spans="1:24" x14ac:dyDescent="0.25">
      <c r="A45" s="1">
        <v>42171</v>
      </c>
      <c r="B45" s="5">
        <v>2096.290039</v>
      </c>
      <c r="C45" s="7"/>
      <c r="H45" s="3">
        <f t="shared" si="6"/>
        <v>3289.1584301635089</v>
      </c>
      <c r="I45" s="6">
        <f t="shared" si="12"/>
        <v>44</v>
      </c>
      <c r="J45" s="9">
        <f t="shared" si="13"/>
        <v>0.16806930347589472</v>
      </c>
      <c r="K45">
        <v>1</v>
      </c>
      <c r="L45" s="8">
        <f t="shared" si="14"/>
        <v>1.2165885024263329E-2</v>
      </c>
      <c r="M45">
        <f t="shared" si="7"/>
        <v>2.4240554704369902E-5</v>
      </c>
      <c r="N45">
        <f t="shared" si="8"/>
        <v>1.0574805988574397E-8</v>
      </c>
      <c r="O45" s="3">
        <f t="shared" si="15"/>
        <v>39.773095273219042</v>
      </c>
      <c r="P45">
        <f t="shared" si="9"/>
        <v>8.1538313909311801E-6</v>
      </c>
      <c r="Q45">
        <f t="shared" si="10"/>
        <v>2.6819243257613142E-2</v>
      </c>
      <c r="R45">
        <f t="shared" si="11"/>
        <v>4.3624438951754069E-4</v>
      </c>
      <c r="S45">
        <f t="shared" si="0"/>
        <v>4.8038985020989544E-3</v>
      </c>
      <c r="T45">
        <f t="shared" si="1"/>
        <v>3.9885153630058361E-3</v>
      </c>
      <c r="U45">
        <f t="shared" si="2"/>
        <v>3.1731322239127182E-3</v>
      </c>
      <c r="V45">
        <f t="shared" si="3"/>
        <v>2.3577490848196003E-3</v>
      </c>
      <c r="W45">
        <f t="shared" si="4"/>
        <v>1.5423659457264823E-3</v>
      </c>
      <c r="X45">
        <f t="shared" si="5"/>
        <v>7.2698280663336431E-4</v>
      </c>
    </row>
    <row r="46" spans="1:24" x14ac:dyDescent="0.25">
      <c r="A46" s="1">
        <v>42172</v>
      </c>
      <c r="B46" s="5">
        <v>2100.4399410000001</v>
      </c>
      <c r="C46" s="7"/>
      <c r="H46" s="3">
        <f t="shared" si="6"/>
        <v>3329.4183556967851</v>
      </c>
      <c r="I46" s="6">
        <f t="shared" si="12"/>
        <v>45</v>
      </c>
      <c r="J46" s="9">
        <f>F6</f>
        <v>0.18023518850015813</v>
      </c>
      <c r="K46">
        <v>1</v>
      </c>
      <c r="L46" s="8">
        <f t="shared" si="14"/>
        <v>1.2165885024263412E-2</v>
      </c>
      <c r="M46">
        <f t="shared" si="7"/>
        <v>2.4240554704369902E-5</v>
      </c>
      <c r="N46">
        <f t="shared" si="8"/>
        <v>9.6192688231522523E-9</v>
      </c>
      <c r="O46" s="3">
        <f t="shared" si="15"/>
        <v>40.259925533276146</v>
      </c>
      <c r="P46">
        <f t="shared" si="9"/>
        <v>7.4170529627464342E-6</v>
      </c>
      <c r="Q46">
        <f t="shared" si="10"/>
        <v>2.46944722793432E-2</v>
      </c>
      <c r="R46">
        <f t="shared" si="11"/>
        <v>3.9682544151591401E-4</v>
      </c>
      <c r="S46">
        <f t="shared" si="0"/>
        <v>4.6684292799278283E-3</v>
      </c>
      <c r="T46">
        <f t="shared" si="1"/>
        <v>3.926723983653185E-3</v>
      </c>
      <c r="U46">
        <f t="shared" si="2"/>
        <v>3.1850186873785416E-3</v>
      </c>
      <c r="V46">
        <f t="shared" si="3"/>
        <v>2.4433133911038983E-3</v>
      </c>
      <c r="W46">
        <f t="shared" si="4"/>
        <v>1.701608094829255E-3</v>
      </c>
      <c r="X46">
        <f t="shared" si="5"/>
        <v>9.5990279855461143E-4</v>
      </c>
    </row>
    <row r="47" spans="1:24" x14ac:dyDescent="0.25">
      <c r="A47" s="1">
        <v>42173</v>
      </c>
      <c r="B47" s="5">
        <v>2121.23999</v>
      </c>
      <c r="C47" s="7"/>
    </row>
    <row r="48" spans="1:24" x14ac:dyDescent="0.25">
      <c r="A48" s="1">
        <v>42174</v>
      </c>
      <c r="B48" s="5">
        <v>2109.98999</v>
      </c>
      <c r="C48" s="7"/>
    </row>
    <row r="49" spans="1:3" x14ac:dyDescent="0.25">
      <c r="A49" s="1">
        <v>42177</v>
      </c>
      <c r="B49" s="5">
        <v>2122.8500979999999</v>
      </c>
      <c r="C49" s="7"/>
    </row>
    <row r="50" spans="1:3" x14ac:dyDescent="0.25">
      <c r="A50" s="1">
        <v>42178</v>
      </c>
      <c r="B50" s="5">
        <v>2124.1999510000001</v>
      </c>
      <c r="C50" s="7"/>
    </row>
    <row r="51" spans="1:3" x14ac:dyDescent="0.25">
      <c r="A51" s="1">
        <v>42179</v>
      </c>
      <c r="B51" s="5">
        <v>2108.580078</v>
      </c>
      <c r="C51" s="7"/>
    </row>
    <row r="52" spans="1:3" x14ac:dyDescent="0.25">
      <c r="A52" s="1">
        <v>42180</v>
      </c>
      <c r="B52" s="5">
        <v>2102.3100589999999</v>
      </c>
      <c r="C52" s="7"/>
    </row>
    <row r="53" spans="1:3" x14ac:dyDescent="0.25">
      <c r="A53" s="1">
        <v>42181</v>
      </c>
      <c r="B53" s="5">
        <v>2101.48999</v>
      </c>
      <c r="C53" s="7"/>
    </row>
    <row r="54" spans="1:3" x14ac:dyDescent="0.25">
      <c r="A54" s="1">
        <v>42184</v>
      </c>
      <c r="B54" s="5">
        <v>2057.639893</v>
      </c>
      <c r="C54" s="7"/>
    </row>
    <row r="55" spans="1:3" x14ac:dyDescent="0.25">
      <c r="A55" s="1">
        <v>42185</v>
      </c>
      <c r="B55" s="5">
        <v>2063.110107</v>
      </c>
      <c r="C55" s="7"/>
    </row>
    <row r="56" spans="1:3" x14ac:dyDescent="0.25">
      <c r="A56" s="1">
        <v>42186</v>
      </c>
      <c r="B56" s="5">
        <v>2077.419922</v>
      </c>
      <c r="C56" s="7"/>
    </row>
    <row r="57" spans="1:3" x14ac:dyDescent="0.25">
      <c r="A57" s="1">
        <v>42187</v>
      </c>
      <c r="B57" s="5">
        <v>2076.780029</v>
      </c>
      <c r="C57" s="7"/>
    </row>
    <row r="58" spans="1:3" x14ac:dyDescent="0.25">
      <c r="A58" s="1">
        <v>42191</v>
      </c>
      <c r="B58" s="5">
        <v>2068.76001</v>
      </c>
      <c r="C58" s="7"/>
    </row>
    <row r="59" spans="1:3" x14ac:dyDescent="0.25">
      <c r="A59" s="1">
        <v>42192</v>
      </c>
      <c r="B59" s="5">
        <v>2081.3400879999999</v>
      </c>
      <c r="C59" s="7"/>
    </row>
    <row r="60" spans="1:3" x14ac:dyDescent="0.25">
      <c r="A60" s="1">
        <v>42193</v>
      </c>
      <c r="B60" s="5">
        <v>2046.6800539999999</v>
      </c>
      <c r="C60" s="7"/>
    </row>
    <row r="61" spans="1:3" x14ac:dyDescent="0.25">
      <c r="A61" s="1">
        <v>42194</v>
      </c>
      <c r="B61" s="5">
        <v>2051.3100589999999</v>
      </c>
      <c r="C61" s="7"/>
    </row>
    <row r="62" spans="1:3" x14ac:dyDescent="0.25">
      <c r="A62" s="1">
        <v>42195</v>
      </c>
      <c r="B62" s="5">
        <v>2076.6201169999999</v>
      </c>
      <c r="C62" s="7"/>
    </row>
    <row r="63" spans="1:3" x14ac:dyDescent="0.25">
      <c r="A63" s="1">
        <v>42198</v>
      </c>
      <c r="B63" s="5">
        <v>2099.6000979999999</v>
      </c>
      <c r="C63" s="7"/>
    </row>
    <row r="64" spans="1:3" x14ac:dyDescent="0.25">
      <c r="A64" s="1">
        <v>42199</v>
      </c>
      <c r="B64" s="5">
        <v>2108.9499510000001</v>
      </c>
      <c r="C64" s="7"/>
    </row>
    <row r="65" spans="1:3" x14ac:dyDescent="0.25">
      <c r="A65" s="1">
        <v>42200</v>
      </c>
      <c r="B65" s="5">
        <v>2107.3999020000001</v>
      </c>
      <c r="C65" s="7"/>
    </row>
    <row r="66" spans="1:3" x14ac:dyDescent="0.25">
      <c r="A66" s="1">
        <v>42201</v>
      </c>
      <c r="B66" s="5">
        <v>2124.290039</v>
      </c>
      <c r="C66" s="7">
        <f>LN(B66/B2)</f>
        <v>8.3481885217067831E-3</v>
      </c>
    </row>
    <row r="67" spans="1:3" x14ac:dyDescent="0.25">
      <c r="A67" s="1">
        <v>42202</v>
      </c>
      <c r="B67" s="5">
        <v>2126.639893</v>
      </c>
      <c r="C67" s="7">
        <f t="shared" ref="C67:C130" si="17">LN(B67/B3)</f>
        <v>1.0232507332287887E-2</v>
      </c>
    </row>
    <row r="68" spans="1:3" x14ac:dyDescent="0.25">
      <c r="A68" s="1">
        <v>42205</v>
      </c>
      <c r="B68" s="5">
        <v>2128.280029</v>
      </c>
      <c r="C68" s="7">
        <f t="shared" si="17"/>
        <v>2.2379147523454719E-2</v>
      </c>
    </row>
    <row r="69" spans="1:3" x14ac:dyDescent="0.25">
      <c r="A69" s="1">
        <v>42206</v>
      </c>
      <c r="B69" s="5">
        <v>2119.209961</v>
      </c>
      <c r="C69" s="7">
        <f t="shared" si="17"/>
        <v>8.9156031995154539E-3</v>
      </c>
    </row>
    <row r="70" spans="1:3" x14ac:dyDescent="0.25">
      <c r="A70" s="1">
        <v>42207</v>
      </c>
      <c r="B70" s="5">
        <v>2114.1499020000001</v>
      </c>
      <c r="C70" s="7">
        <f t="shared" si="17"/>
        <v>8.0067403581472862E-3</v>
      </c>
    </row>
    <row r="71" spans="1:3" x14ac:dyDescent="0.25">
      <c r="A71" s="1">
        <v>42208</v>
      </c>
      <c r="B71" s="5">
        <v>2102.1499020000001</v>
      </c>
      <c r="C71" s="7">
        <f t="shared" si="17"/>
        <v>-2.7600527669964219E-3</v>
      </c>
    </row>
    <row r="72" spans="1:3" x14ac:dyDescent="0.25">
      <c r="A72" s="1">
        <v>42209</v>
      </c>
      <c r="B72" s="5">
        <v>2079.6499020000001</v>
      </c>
      <c r="C72" s="7">
        <f t="shared" si="17"/>
        <v>-1.5876014448413408E-2</v>
      </c>
    </row>
    <row r="73" spans="1:3" x14ac:dyDescent="0.25">
      <c r="A73" s="1">
        <v>42212</v>
      </c>
      <c r="B73" s="5">
        <v>2067.639893</v>
      </c>
      <c r="C73" s="7">
        <f t="shared" si="17"/>
        <v>-2.3918035606981976E-2</v>
      </c>
    </row>
    <row r="74" spans="1:3" x14ac:dyDescent="0.25">
      <c r="A74" s="1">
        <v>42213</v>
      </c>
      <c r="B74" s="5">
        <v>2093.25</v>
      </c>
      <c r="C74" s="7">
        <f t="shared" si="17"/>
        <v>-7.4580490195034462E-3</v>
      </c>
    </row>
    <row r="75" spans="1:3" x14ac:dyDescent="0.25">
      <c r="A75" s="1">
        <v>42214</v>
      </c>
      <c r="B75" s="5">
        <v>2108.570068</v>
      </c>
      <c r="C75" s="7">
        <f t="shared" si="17"/>
        <v>-2.931310751457829E-3</v>
      </c>
    </row>
    <row r="76" spans="1:3" x14ac:dyDescent="0.25">
      <c r="A76" s="1">
        <v>42215</v>
      </c>
      <c r="B76" s="5">
        <v>2108.6298830000001</v>
      </c>
      <c r="C76" s="7">
        <f t="shared" si="17"/>
        <v>8.4440448716326859E-4</v>
      </c>
    </row>
    <row r="77" spans="1:3" x14ac:dyDescent="0.25">
      <c r="A77" s="1">
        <v>42216</v>
      </c>
      <c r="B77" s="5">
        <v>2103.8400879999999</v>
      </c>
      <c r="C77" s="7">
        <f t="shared" si="17"/>
        <v>8.7508537332033481E-3</v>
      </c>
    </row>
    <row r="78" spans="1:3" x14ac:dyDescent="0.25">
      <c r="A78" s="1">
        <v>42219</v>
      </c>
      <c r="B78" s="5">
        <v>2098.040039</v>
      </c>
      <c r="C78" s="7">
        <f t="shared" si="17"/>
        <v>-4.8736167149068758E-3</v>
      </c>
    </row>
    <row r="79" spans="1:3" x14ac:dyDescent="0.25">
      <c r="A79" s="1">
        <v>42220</v>
      </c>
      <c r="B79" s="5">
        <v>2093.320068</v>
      </c>
      <c r="C79" s="7">
        <f t="shared" si="17"/>
        <v>-1.0062289090292784E-2</v>
      </c>
    </row>
    <row r="80" spans="1:3" x14ac:dyDescent="0.25">
      <c r="A80" s="1">
        <v>42221</v>
      </c>
      <c r="B80" s="5">
        <v>2099.8400879999999</v>
      </c>
      <c r="C80" s="7">
        <f t="shared" si="17"/>
        <v>4.9555525367381368E-3</v>
      </c>
    </row>
    <row r="81" spans="1:3" x14ac:dyDescent="0.25">
      <c r="A81" s="1">
        <v>42222</v>
      </c>
      <c r="B81" s="5">
        <v>2083.5600589999999</v>
      </c>
      <c r="C81" s="7">
        <f t="shared" si="17"/>
        <v>1.638038093163845E-3</v>
      </c>
    </row>
    <row r="82" spans="1:3" x14ac:dyDescent="0.25">
      <c r="A82" s="1">
        <v>42223</v>
      </c>
      <c r="B82" s="5">
        <v>2077.570068</v>
      </c>
      <c r="C82" s="7">
        <f t="shared" si="17"/>
        <v>-5.0076957658588455E-3</v>
      </c>
    </row>
    <row r="83" spans="1:3" x14ac:dyDescent="0.25">
      <c r="A83" s="1">
        <v>42226</v>
      </c>
      <c r="B83" s="5">
        <v>2104.179932</v>
      </c>
      <c r="C83" s="7">
        <f t="shared" si="17"/>
        <v>-5.6490079398704082E-3</v>
      </c>
    </row>
    <row r="84" spans="1:3" x14ac:dyDescent="0.25">
      <c r="A84" s="1">
        <v>42227</v>
      </c>
      <c r="B84" s="5">
        <v>2084.070068</v>
      </c>
      <c r="C84" s="7">
        <f t="shared" si="17"/>
        <v>-1.0149516285382413E-2</v>
      </c>
    </row>
    <row r="85" spans="1:3" x14ac:dyDescent="0.25">
      <c r="A85" s="1">
        <v>42228</v>
      </c>
      <c r="B85" s="5">
        <v>2086.0500489999999</v>
      </c>
      <c r="C85" s="7">
        <f t="shared" si="17"/>
        <v>-6.2459159230188691E-3</v>
      </c>
    </row>
    <row r="86" spans="1:3" x14ac:dyDescent="0.25">
      <c r="A86" s="1">
        <v>42229</v>
      </c>
      <c r="B86" s="5">
        <v>2083.389893</v>
      </c>
      <c r="C86" s="7">
        <f t="shared" si="17"/>
        <v>-7.2169402465937175E-3</v>
      </c>
    </row>
    <row r="87" spans="1:3" x14ac:dyDescent="0.25">
      <c r="A87" s="1">
        <v>42230</v>
      </c>
      <c r="B87" s="5">
        <v>2091.540039</v>
      </c>
      <c r="C87" s="7">
        <f t="shared" si="17"/>
        <v>-1.4034212851809407E-2</v>
      </c>
    </row>
    <row r="88" spans="1:3" x14ac:dyDescent="0.25">
      <c r="A88" s="1">
        <v>42233</v>
      </c>
      <c r="B88" s="5">
        <v>2102.4399410000001</v>
      </c>
      <c r="C88" s="7">
        <f t="shared" si="17"/>
        <v>-9.6044397507322691E-3</v>
      </c>
    </row>
    <row r="89" spans="1:3" x14ac:dyDescent="0.25">
      <c r="A89" s="1">
        <v>42234</v>
      </c>
      <c r="B89" s="5">
        <v>2096.919922</v>
      </c>
      <c r="C89" s="7">
        <f t="shared" si="17"/>
        <v>-1.5276735046198118E-2</v>
      </c>
    </row>
    <row r="90" spans="1:3" x14ac:dyDescent="0.25">
      <c r="A90" s="1">
        <v>42235</v>
      </c>
      <c r="B90" s="5">
        <v>2079.610107</v>
      </c>
      <c r="C90" s="7">
        <f t="shared" si="17"/>
        <v>-2.2922290142404517E-2</v>
      </c>
    </row>
    <row r="91" spans="1:3" x14ac:dyDescent="0.25">
      <c r="A91" s="1">
        <v>42236</v>
      </c>
      <c r="B91" s="5">
        <v>2035.7299800000001</v>
      </c>
      <c r="C91" s="7">
        <f t="shared" si="17"/>
        <v>-4.3317301393600668E-2</v>
      </c>
    </row>
    <row r="92" spans="1:3" x14ac:dyDescent="0.25">
      <c r="A92" s="1">
        <v>42237</v>
      </c>
      <c r="B92" s="5">
        <v>1970.8900149999999</v>
      </c>
      <c r="C92" s="7">
        <f t="shared" si="17"/>
        <v>-7.8021689085229121E-2</v>
      </c>
    </row>
    <row r="93" spans="1:3" x14ac:dyDescent="0.25">
      <c r="A93" s="1">
        <v>42240</v>
      </c>
      <c r="B93" s="5">
        <v>1893.209961</v>
      </c>
      <c r="C93" s="7">
        <f t="shared" si="17"/>
        <v>-0.11599674878736639</v>
      </c>
    </row>
    <row r="94" spans="1:3" x14ac:dyDescent="0.25">
      <c r="A94" s="1">
        <v>42241</v>
      </c>
      <c r="B94" s="5">
        <v>1867.6099850000001</v>
      </c>
      <c r="C94" s="7">
        <f t="shared" si="17"/>
        <v>-0.11927579357101162</v>
      </c>
    </row>
    <row r="95" spans="1:3" x14ac:dyDescent="0.25">
      <c r="A95" s="1">
        <v>42242</v>
      </c>
      <c r="B95" s="5">
        <v>1940.51001</v>
      </c>
      <c r="C95" s="7">
        <f t="shared" si="17"/>
        <v>-9.0105412617503725E-2</v>
      </c>
    </row>
    <row r="96" spans="1:3" x14ac:dyDescent="0.25">
      <c r="A96" s="1">
        <v>42243</v>
      </c>
      <c r="B96" s="5">
        <v>1987.660034</v>
      </c>
      <c r="C96" s="7">
        <f t="shared" si="17"/>
        <v>-6.4830594612784356E-2</v>
      </c>
    </row>
    <row r="97" spans="1:3" x14ac:dyDescent="0.25">
      <c r="A97" s="1">
        <v>42244</v>
      </c>
      <c r="B97" s="5">
        <v>1988.869995</v>
      </c>
      <c r="C97" s="7">
        <f t="shared" si="17"/>
        <v>-5.7883528469989058E-2</v>
      </c>
    </row>
    <row r="98" spans="1:3" x14ac:dyDescent="0.25">
      <c r="A98" s="1">
        <v>42247</v>
      </c>
      <c r="B98" s="5">
        <v>1972.1800539999999</v>
      </c>
      <c r="C98" s="7">
        <f t="shared" si="17"/>
        <v>-6.8367950005466402E-2</v>
      </c>
    </row>
    <row r="99" spans="1:3" x14ac:dyDescent="0.25">
      <c r="A99" s="1">
        <v>42248</v>
      </c>
      <c r="B99" s="5">
        <v>1913.849976</v>
      </c>
      <c r="C99" s="7">
        <f t="shared" si="17"/>
        <v>-9.7381494997685794E-2</v>
      </c>
    </row>
    <row r="100" spans="1:3" x14ac:dyDescent="0.25">
      <c r="A100" s="1">
        <v>42249</v>
      </c>
      <c r="B100" s="5">
        <v>1948.8599850000001</v>
      </c>
      <c r="C100" s="7">
        <f t="shared" si="17"/>
        <v>-8.1370453108034119E-2</v>
      </c>
    </row>
    <row r="101" spans="1:3" x14ac:dyDescent="0.25">
      <c r="A101" s="1">
        <v>42250</v>
      </c>
      <c r="B101" s="5">
        <v>1951.130005</v>
      </c>
      <c r="C101" s="7">
        <f t="shared" si="17"/>
        <v>-7.1545775175237469E-2</v>
      </c>
    </row>
    <row r="102" spans="1:3" x14ac:dyDescent="0.25">
      <c r="A102" s="1">
        <v>42251</v>
      </c>
      <c r="B102" s="5">
        <v>1921.219971</v>
      </c>
      <c r="C102" s="7">
        <f t="shared" si="17"/>
        <v>-8.555686849040392E-2</v>
      </c>
    </row>
    <row r="103" spans="1:3" x14ac:dyDescent="0.25">
      <c r="A103" s="1">
        <v>42255</v>
      </c>
      <c r="B103" s="5">
        <v>1969.410034</v>
      </c>
      <c r="C103" s="7">
        <f t="shared" si="17"/>
        <v>-5.4287671117773467E-2</v>
      </c>
    </row>
    <row r="104" spans="1:3" x14ac:dyDescent="0.25">
      <c r="A104" s="1">
        <v>42256</v>
      </c>
      <c r="B104" s="5">
        <v>1942.040039</v>
      </c>
      <c r="C104" s="7">
        <f t="shared" si="17"/>
        <v>-6.8700972324329729E-2</v>
      </c>
    </row>
    <row r="105" spans="1:3" x14ac:dyDescent="0.25">
      <c r="A105" s="1">
        <v>42257</v>
      </c>
      <c r="B105" s="5">
        <v>1952.290039</v>
      </c>
      <c r="C105" s="7">
        <f t="shared" si="17"/>
        <v>-7.5407388715348828E-2</v>
      </c>
    </row>
    <row r="106" spans="1:3" x14ac:dyDescent="0.25">
      <c r="A106" s="1">
        <v>42258</v>
      </c>
      <c r="B106" s="5">
        <v>1961.0500489999999</v>
      </c>
      <c r="C106" s="7">
        <f t="shared" si="17"/>
        <v>-7.2667498788826848E-2</v>
      </c>
    </row>
    <row r="107" spans="1:3" x14ac:dyDescent="0.25">
      <c r="A107" s="1">
        <v>42261</v>
      </c>
      <c r="B107" s="5">
        <v>1953.030029</v>
      </c>
      <c r="C107" s="7">
        <f t="shared" si="17"/>
        <v>-6.974666559701069E-2</v>
      </c>
    </row>
    <row r="108" spans="1:3" x14ac:dyDescent="0.25">
      <c r="A108" s="1">
        <v>42262</v>
      </c>
      <c r="B108" s="5">
        <v>1978.089966</v>
      </c>
      <c r="C108" s="7">
        <f t="shared" si="17"/>
        <v>-5.2363688474827717E-2</v>
      </c>
    </row>
    <row r="109" spans="1:3" x14ac:dyDescent="0.25">
      <c r="A109" s="1">
        <v>42263</v>
      </c>
      <c r="B109" s="5">
        <v>1995.3100589999999</v>
      </c>
      <c r="C109" s="7">
        <f t="shared" si="17"/>
        <v>-4.9369677960218218E-2</v>
      </c>
    </row>
    <row r="110" spans="1:3" x14ac:dyDescent="0.25">
      <c r="A110" s="1">
        <v>42264</v>
      </c>
      <c r="B110" s="5">
        <v>1990.1999510000001</v>
      </c>
      <c r="C110" s="7">
        <f t="shared" si="17"/>
        <v>-5.3911706924217033E-2</v>
      </c>
    </row>
    <row r="111" spans="1:3" x14ac:dyDescent="0.25">
      <c r="A111" s="1">
        <v>42265</v>
      </c>
      <c r="B111" s="5">
        <v>1958.030029</v>
      </c>
      <c r="C111" s="7">
        <f t="shared" si="17"/>
        <v>-8.0061938080790138E-2</v>
      </c>
    </row>
    <row r="112" spans="1:3" x14ac:dyDescent="0.25">
      <c r="A112" s="1">
        <v>42268</v>
      </c>
      <c r="B112" s="5">
        <v>1966.969971</v>
      </c>
      <c r="C112" s="7">
        <f t="shared" si="17"/>
        <v>-7.0188930506029354E-2</v>
      </c>
    </row>
    <row r="113" spans="1:3" x14ac:dyDescent="0.25">
      <c r="A113" s="1">
        <v>42269</v>
      </c>
      <c r="B113" s="5">
        <v>1942.73999</v>
      </c>
      <c r="C113" s="7">
        <f t="shared" si="17"/>
        <v>-8.866022905152858E-2</v>
      </c>
    </row>
    <row r="114" spans="1:3" x14ac:dyDescent="0.25">
      <c r="A114" s="1">
        <v>42270</v>
      </c>
      <c r="B114" s="5">
        <v>1938.76001</v>
      </c>
      <c r="C114" s="7">
        <f t="shared" si="17"/>
        <v>-9.1346639221944123E-2</v>
      </c>
    </row>
    <row r="115" spans="1:3" x14ac:dyDescent="0.25">
      <c r="A115" s="1">
        <v>42271</v>
      </c>
      <c r="B115" s="5">
        <v>1932.23999</v>
      </c>
      <c r="C115" s="7">
        <f t="shared" si="17"/>
        <v>-8.7334825638762686E-2</v>
      </c>
    </row>
    <row r="116" spans="1:3" x14ac:dyDescent="0.25">
      <c r="A116" s="1">
        <v>42272</v>
      </c>
      <c r="B116" s="5">
        <v>1931.339966</v>
      </c>
      <c r="C116" s="7">
        <f t="shared" si="17"/>
        <v>-8.4822723321573507E-2</v>
      </c>
    </row>
    <row r="117" spans="1:3" x14ac:dyDescent="0.25">
      <c r="A117" s="1">
        <v>42275</v>
      </c>
      <c r="B117" s="5">
        <v>1881.7700199999999</v>
      </c>
      <c r="C117" s="7">
        <f t="shared" si="17"/>
        <v>-0.11043377827862963</v>
      </c>
    </row>
    <row r="118" spans="1:3" x14ac:dyDescent="0.25">
      <c r="A118" s="1">
        <v>42276</v>
      </c>
      <c r="B118" s="5">
        <v>1884.089966</v>
      </c>
      <c r="C118" s="7">
        <f t="shared" si="17"/>
        <v>-8.8114715327322471E-2</v>
      </c>
    </row>
    <row r="119" spans="1:3" x14ac:dyDescent="0.25">
      <c r="A119" s="1">
        <v>42277</v>
      </c>
      <c r="B119" s="5">
        <v>1920.030029</v>
      </c>
      <c r="C119" s="7">
        <f t="shared" si="17"/>
        <v>-7.1873778916702283E-2</v>
      </c>
    </row>
    <row r="120" spans="1:3" x14ac:dyDescent="0.25">
      <c r="A120" s="1">
        <v>42278</v>
      </c>
      <c r="B120" s="5">
        <v>1923.8199460000001</v>
      </c>
      <c r="C120" s="7">
        <f t="shared" si="17"/>
        <v>-7.6813936933292276E-2</v>
      </c>
    </row>
    <row r="121" spans="1:3" x14ac:dyDescent="0.25">
      <c r="A121" s="1">
        <v>42279</v>
      </c>
      <c r="B121" s="5">
        <v>1951.3599850000001</v>
      </c>
      <c r="C121" s="7">
        <f t="shared" si="17"/>
        <v>-6.2292073554128122E-2</v>
      </c>
    </row>
    <row r="122" spans="1:3" x14ac:dyDescent="0.25">
      <c r="A122" s="1">
        <v>42282</v>
      </c>
      <c r="B122" s="5">
        <v>1987.0500489999999</v>
      </c>
      <c r="C122" s="7">
        <f t="shared" si="17"/>
        <v>-4.0298247326310314E-2</v>
      </c>
    </row>
    <row r="123" spans="1:3" x14ac:dyDescent="0.25">
      <c r="A123" s="1">
        <v>42283</v>
      </c>
      <c r="B123" s="5">
        <v>1979.920044</v>
      </c>
      <c r="C123" s="7">
        <f t="shared" si="17"/>
        <v>-4.9955497262456662E-2</v>
      </c>
    </row>
    <row r="124" spans="1:3" x14ac:dyDescent="0.25">
      <c r="A124" s="1">
        <v>42284</v>
      </c>
      <c r="B124" s="5">
        <v>1995.829956</v>
      </c>
      <c r="C124" s="7">
        <f t="shared" si="17"/>
        <v>-2.5159012636468695E-2</v>
      </c>
    </row>
    <row r="125" spans="1:3" x14ac:dyDescent="0.25">
      <c r="A125" s="1">
        <v>42285</v>
      </c>
      <c r="B125" s="5">
        <v>2013.4300539999999</v>
      </c>
      <c r="C125" s="7">
        <f t="shared" si="17"/>
        <v>-1.8638880022571382E-2</v>
      </c>
    </row>
    <row r="126" spans="1:3" x14ac:dyDescent="0.25">
      <c r="A126" s="1">
        <v>42286</v>
      </c>
      <c r="B126" s="5">
        <v>2014.8900149999999</v>
      </c>
      <c r="C126" s="7">
        <f t="shared" si="17"/>
        <v>-3.0177017527813668E-2</v>
      </c>
    </row>
    <row r="127" spans="1:3" x14ac:dyDescent="0.25">
      <c r="A127" s="1">
        <v>42289</v>
      </c>
      <c r="B127" s="5">
        <v>2017.459961</v>
      </c>
      <c r="C127" s="7">
        <f t="shared" si="17"/>
        <v>-3.9907621955351212E-2</v>
      </c>
    </row>
    <row r="128" spans="1:3" x14ac:dyDescent="0.25">
      <c r="A128" s="1">
        <v>42290</v>
      </c>
      <c r="B128" s="5">
        <v>2003.6899410000001</v>
      </c>
      <c r="C128" s="7">
        <f t="shared" si="17"/>
        <v>-5.1199718870489554E-2</v>
      </c>
    </row>
    <row r="129" spans="1:3" x14ac:dyDescent="0.25">
      <c r="A129" s="1">
        <v>42291</v>
      </c>
      <c r="B129" s="5">
        <v>1994.23999</v>
      </c>
      <c r="C129" s="7">
        <f t="shared" si="17"/>
        <v>-5.5191893314848764E-2</v>
      </c>
    </row>
    <row r="130" spans="1:3" x14ac:dyDescent="0.25">
      <c r="A130" s="1">
        <v>42292</v>
      </c>
      <c r="B130" s="5">
        <v>2023.8599850000001</v>
      </c>
      <c r="C130" s="7">
        <f t="shared" si="17"/>
        <v>-4.8431075597846318E-2</v>
      </c>
    </row>
    <row r="131" spans="1:3" x14ac:dyDescent="0.25">
      <c r="A131" s="1">
        <v>42293</v>
      </c>
      <c r="B131" s="5">
        <v>2033.1099850000001</v>
      </c>
      <c r="C131" s="7">
        <f t="shared" ref="C131:C194" si="18">LN(B131/B67)</f>
        <v>-4.4976586075607665E-2</v>
      </c>
    </row>
    <row r="132" spans="1:3" x14ac:dyDescent="0.25">
      <c r="A132" s="1">
        <v>42296</v>
      </c>
      <c r="B132" s="5">
        <v>2033.660034</v>
      </c>
      <c r="C132" s="7">
        <f t="shared" si="18"/>
        <v>-4.547701333330733E-2</v>
      </c>
    </row>
    <row r="133" spans="1:3" x14ac:dyDescent="0.25">
      <c r="A133" s="1">
        <v>42297</v>
      </c>
      <c r="B133" s="5">
        <v>2030.7700199999999</v>
      </c>
      <c r="C133" s="7">
        <f t="shared" si="18"/>
        <v>-4.2628317996280328E-2</v>
      </c>
    </row>
    <row r="134" spans="1:3" x14ac:dyDescent="0.25">
      <c r="A134" s="1">
        <v>42298</v>
      </c>
      <c r="B134" s="5">
        <v>2018.9399410000001</v>
      </c>
      <c r="C134" s="7">
        <f t="shared" si="18"/>
        <v>-4.608020212718042E-2</v>
      </c>
    </row>
    <row r="135" spans="1:3" x14ac:dyDescent="0.25">
      <c r="A135" s="1">
        <v>42299</v>
      </c>
      <c r="B135" s="5">
        <v>2052.51001</v>
      </c>
      <c r="C135" s="7">
        <f t="shared" si="18"/>
        <v>-2.3897144586869996E-2</v>
      </c>
    </row>
    <row r="136" spans="1:3" x14ac:dyDescent="0.25">
      <c r="A136" s="1">
        <v>42300</v>
      </c>
      <c r="B136" s="5">
        <v>2075.1499020000001</v>
      </c>
      <c r="C136" s="7">
        <f t="shared" si="18"/>
        <v>-2.1661701992367654E-3</v>
      </c>
    </row>
    <row r="137" spans="1:3" x14ac:dyDescent="0.25">
      <c r="A137" s="1">
        <v>42303</v>
      </c>
      <c r="B137" s="5">
        <v>2071.179932</v>
      </c>
      <c r="C137" s="7">
        <f t="shared" si="18"/>
        <v>1.710651834561015E-3</v>
      </c>
    </row>
    <row r="138" spans="1:3" x14ac:dyDescent="0.25">
      <c r="A138" s="1">
        <v>42304</v>
      </c>
      <c r="B138" s="5">
        <v>2065.889893</v>
      </c>
      <c r="C138" s="7">
        <f t="shared" si="18"/>
        <v>-1.3156807597681531E-2</v>
      </c>
    </row>
    <row r="139" spans="1:3" x14ac:dyDescent="0.25">
      <c r="A139" s="1">
        <v>42305</v>
      </c>
      <c r="B139" s="5">
        <v>2090.3500979999999</v>
      </c>
      <c r="C139" s="7">
        <f t="shared" si="18"/>
        <v>-8.6784619062499208E-3</v>
      </c>
    </row>
    <row r="140" spans="1:3" x14ac:dyDescent="0.25">
      <c r="A140" s="1">
        <v>42306</v>
      </c>
      <c r="B140" s="5">
        <v>2089.4099120000001</v>
      </c>
      <c r="C140" s="7">
        <f t="shared" si="18"/>
        <v>-9.1567046670820492E-3</v>
      </c>
    </row>
    <row r="141" spans="1:3" x14ac:dyDescent="0.25">
      <c r="A141" s="1">
        <v>42307</v>
      </c>
      <c r="B141" s="5">
        <v>2079.360107</v>
      </c>
      <c r="C141" s="7">
        <f t="shared" si="18"/>
        <v>-1.1704082668063274E-2</v>
      </c>
    </row>
    <row r="142" spans="1:3" x14ac:dyDescent="0.25">
      <c r="A142" s="1">
        <v>42310</v>
      </c>
      <c r="B142" s="5">
        <v>2104.0500489999999</v>
      </c>
      <c r="C142" s="7">
        <f t="shared" si="18"/>
        <v>2.8604879820085753E-3</v>
      </c>
    </row>
    <row r="143" spans="1:3" x14ac:dyDescent="0.25">
      <c r="A143" s="1">
        <v>42311</v>
      </c>
      <c r="B143" s="5">
        <v>2109.790039</v>
      </c>
      <c r="C143" s="7">
        <f t="shared" si="18"/>
        <v>7.8370801045846983E-3</v>
      </c>
    </row>
    <row r="144" spans="1:3" x14ac:dyDescent="0.25">
      <c r="A144" s="1">
        <v>42312</v>
      </c>
      <c r="B144" s="5">
        <v>2102.3100589999999</v>
      </c>
      <c r="C144" s="7">
        <f t="shared" si="18"/>
        <v>1.1755749785460133E-3</v>
      </c>
    </row>
    <row r="145" spans="1:3" x14ac:dyDescent="0.25">
      <c r="A145" s="1">
        <v>42313</v>
      </c>
      <c r="B145" s="5">
        <v>2099.929932</v>
      </c>
      <c r="C145" s="7">
        <f t="shared" si="18"/>
        <v>7.8259809796154562E-3</v>
      </c>
    </row>
    <row r="146" spans="1:3" x14ac:dyDescent="0.25">
      <c r="A146" s="1">
        <v>42314</v>
      </c>
      <c r="B146" s="5">
        <v>2099.1999510000001</v>
      </c>
      <c r="C146" s="7">
        <f t="shared" si="18"/>
        <v>1.0357322170873633E-2</v>
      </c>
    </row>
    <row r="147" spans="1:3" x14ac:dyDescent="0.25">
      <c r="A147" s="1">
        <v>42317</v>
      </c>
      <c r="B147" s="5">
        <v>2078.580078</v>
      </c>
      <c r="C147" s="7">
        <f t="shared" si="18"/>
        <v>-1.2240804439684427E-2</v>
      </c>
    </row>
    <row r="148" spans="1:3" x14ac:dyDescent="0.25">
      <c r="A148" s="1">
        <v>42318</v>
      </c>
      <c r="B148" s="5">
        <v>2081.719971</v>
      </c>
      <c r="C148" s="7">
        <f t="shared" si="18"/>
        <v>-1.1282840600747458E-3</v>
      </c>
    </row>
    <row r="149" spans="1:3" x14ac:dyDescent="0.25">
      <c r="A149" s="1">
        <v>42319</v>
      </c>
      <c r="B149" s="5">
        <v>2075</v>
      </c>
      <c r="C149" s="7">
        <f t="shared" si="18"/>
        <v>-5.3111954173004844E-3</v>
      </c>
    </row>
    <row r="150" spans="1:3" x14ac:dyDescent="0.25">
      <c r="A150" s="1">
        <v>42320</v>
      </c>
      <c r="B150" s="5">
        <v>2045.969971</v>
      </c>
      <c r="C150" s="7">
        <f t="shared" si="18"/>
        <v>-1.8124332860551561E-2</v>
      </c>
    </row>
    <row r="151" spans="1:3" x14ac:dyDescent="0.25">
      <c r="A151" s="1">
        <v>42321</v>
      </c>
      <c r="B151" s="5">
        <v>2023.040039</v>
      </c>
      <c r="C151" s="7">
        <f t="shared" si="18"/>
        <v>-3.3299305510685911E-2</v>
      </c>
    </row>
    <row r="152" spans="1:3" x14ac:dyDescent="0.25">
      <c r="A152" s="1">
        <v>42324</v>
      </c>
      <c r="B152" s="5">
        <v>2053.1899410000001</v>
      </c>
      <c r="C152" s="7">
        <f t="shared" si="18"/>
        <v>-2.3703894429477568E-2</v>
      </c>
    </row>
    <row r="153" spans="1:3" x14ac:dyDescent="0.25">
      <c r="A153" s="1">
        <v>42325</v>
      </c>
      <c r="B153" s="5">
        <v>2050.4399410000001</v>
      </c>
      <c r="C153" s="7">
        <f t="shared" si="18"/>
        <v>-2.2415188765195496E-2</v>
      </c>
    </row>
    <row r="154" spans="1:3" x14ac:dyDescent="0.25">
      <c r="A154" s="1">
        <v>42326</v>
      </c>
      <c r="B154" s="5">
        <v>2083.580078</v>
      </c>
      <c r="C154" s="7">
        <f t="shared" si="18"/>
        <v>1.9071779221828541E-3</v>
      </c>
    </row>
    <row r="155" spans="1:3" x14ac:dyDescent="0.25">
      <c r="A155" s="1">
        <v>42327</v>
      </c>
      <c r="B155" s="5">
        <v>2081.23999</v>
      </c>
      <c r="C155" s="7">
        <f t="shared" si="18"/>
        <v>2.2109398022128503E-2</v>
      </c>
    </row>
    <row r="156" spans="1:3" x14ac:dyDescent="0.25">
      <c r="A156" s="1">
        <v>42328</v>
      </c>
      <c r="B156" s="5">
        <v>2089.169922</v>
      </c>
      <c r="C156" s="7">
        <f t="shared" si="18"/>
        <v>5.8281595587962719E-2</v>
      </c>
    </row>
    <row r="157" spans="1:3" x14ac:dyDescent="0.25">
      <c r="A157" s="1">
        <v>42331</v>
      </c>
      <c r="B157" s="5">
        <v>2086.5900879999999</v>
      </c>
      <c r="C157" s="7">
        <f t="shared" si="18"/>
        <v>9.7257416230748406E-2</v>
      </c>
    </row>
    <row r="158" spans="1:3" x14ac:dyDescent="0.25">
      <c r="A158" s="1">
        <v>42332</v>
      </c>
      <c r="B158" s="5">
        <v>2089.139893</v>
      </c>
      <c r="C158" s="7">
        <f t="shared" si="18"/>
        <v>0.11209291628913867</v>
      </c>
    </row>
    <row r="159" spans="1:3" x14ac:dyDescent="0.25">
      <c r="A159" s="1">
        <v>42333</v>
      </c>
      <c r="B159" s="5">
        <v>2088.8701169999999</v>
      </c>
      <c r="C159" s="7">
        <f t="shared" si="18"/>
        <v>7.3672475638919308E-2</v>
      </c>
    </row>
    <row r="160" spans="1:3" x14ac:dyDescent="0.25">
      <c r="A160" s="1">
        <v>42335</v>
      </c>
      <c r="B160" s="5">
        <v>2090.110107</v>
      </c>
      <c r="C160" s="7">
        <f t="shared" si="18"/>
        <v>5.0258662807809815E-2</v>
      </c>
    </row>
    <row r="161" spans="1:3" x14ac:dyDescent="0.25">
      <c r="A161" s="1">
        <v>42338</v>
      </c>
      <c r="B161" s="5">
        <v>2080.4099120000001</v>
      </c>
      <c r="C161" s="7">
        <f t="shared" si="18"/>
        <v>4.4998311629104872E-2</v>
      </c>
    </row>
    <row r="162" spans="1:3" x14ac:dyDescent="0.25">
      <c r="A162" s="1">
        <v>42339</v>
      </c>
      <c r="B162" s="5">
        <v>2102.6298830000001</v>
      </c>
      <c r="C162" s="7">
        <f t="shared" si="18"/>
        <v>6.4049329176084357E-2</v>
      </c>
    </row>
    <row r="163" spans="1:3" x14ac:dyDescent="0.25">
      <c r="A163" s="1">
        <v>42340</v>
      </c>
      <c r="B163" s="5">
        <v>2079.51001</v>
      </c>
      <c r="C163" s="7">
        <f t="shared" si="18"/>
        <v>8.3015386332815647E-2</v>
      </c>
    </row>
    <row r="164" spans="1:3" x14ac:dyDescent="0.25">
      <c r="A164" s="1">
        <v>42341</v>
      </c>
      <c r="B164" s="5">
        <v>2049.6201169999999</v>
      </c>
      <c r="C164" s="7">
        <f t="shared" si="18"/>
        <v>5.0409888658008231E-2</v>
      </c>
    </row>
    <row r="165" spans="1:3" x14ac:dyDescent="0.25">
      <c r="A165" s="1">
        <v>42342</v>
      </c>
      <c r="B165" s="5">
        <v>2091.6899410000001</v>
      </c>
      <c r="C165" s="7">
        <f t="shared" si="18"/>
        <v>6.9563628979244785E-2</v>
      </c>
    </row>
    <row r="166" spans="1:3" x14ac:dyDescent="0.25">
      <c r="A166" s="1">
        <v>42345</v>
      </c>
      <c r="B166" s="5">
        <v>2077.070068</v>
      </c>
      <c r="C166" s="7">
        <f t="shared" si="18"/>
        <v>7.7997893699861279E-2</v>
      </c>
    </row>
    <row r="167" spans="1:3" x14ac:dyDescent="0.25">
      <c r="A167" s="1">
        <v>42346</v>
      </c>
      <c r="B167" s="5">
        <v>2063.5900879999999</v>
      </c>
      <c r="C167" s="7">
        <f t="shared" si="18"/>
        <v>4.6713204349014048E-2</v>
      </c>
    </row>
    <row r="168" spans="1:3" x14ac:dyDescent="0.25">
      <c r="A168" s="1">
        <v>42347</v>
      </c>
      <c r="B168" s="5">
        <v>2047.619995</v>
      </c>
      <c r="C168" s="7">
        <f t="shared" si="18"/>
        <v>5.2939153583116155E-2</v>
      </c>
    </row>
    <row r="169" spans="1:3" x14ac:dyDescent="0.25">
      <c r="A169" s="1">
        <v>42348</v>
      </c>
      <c r="B169" s="5">
        <v>2052.2299800000001</v>
      </c>
      <c r="C169" s="7">
        <f t="shared" si="18"/>
        <v>4.9923934545427151E-2</v>
      </c>
    </row>
    <row r="170" spans="1:3" x14ac:dyDescent="0.25">
      <c r="A170" s="1">
        <v>42349</v>
      </c>
      <c r="B170" s="5">
        <v>2012.369995</v>
      </c>
      <c r="C170" s="7">
        <f t="shared" si="18"/>
        <v>2.5833060395144131E-2</v>
      </c>
    </row>
    <row r="171" spans="1:3" x14ac:dyDescent="0.25">
      <c r="A171" s="1">
        <v>42352</v>
      </c>
      <c r="B171" s="5">
        <v>2021.9399410000001</v>
      </c>
      <c r="C171" s="7">
        <f t="shared" si="18"/>
        <v>3.4675389779220418E-2</v>
      </c>
    </row>
    <row r="172" spans="1:3" x14ac:dyDescent="0.25">
      <c r="A172" s="1">
        <v>42353</v>
      </c>
      <c r="B172" s="5">
        <v>2043.410034</v>
      </c>
      <c r="C172" s="7">
        <f t="shared" si="18"/>
        <v>3.2488282123841777E-2</v>
      </c>
    </row>
    <row r="173" spans="1:3" x14ac:dyDescent="0.25">
      <c r="A173" s="1">
        <v>42354</v>
      </c>
      <c r="B173" s="5">
        <v>2073.070068</v>
      </c>
      <c r="C173" s="7">
        <f t="shared" si="18"/>
        <v>3.8231176861054782E-2</v>
      </c>
    </row>
    <row r="174" spans="1:3" x14ac:dyDescent="0.25">
      <c r="A174" s="1">
        <v>42355</v>
      </c>
      <c r="B174" s="5">
        <v>2041.8900149999999</v>
      </c>
      <c r="C174" s="7">
        <f t="shared" si="18"/>
        <v>2.5640745303230739E-2</v>
      </c>
    </row>
    <row r="175" spans="1:3" x14ac:dyDescent="0.25">
      <c r="A175" s="1">
        <v>42356</v>
      </c>
      <c r="B175" s="5">
        <v>2005.5500489999999</v>
      </c>
      <c r="C175" s="7">
        <f t="shared" si="18"/>
        <v>2.3979481229290431E-2</v>
      </c>
    </row>
    <row r="176" spans="1:3" x14ac:dyDescent="0.25">
      <c r="A176" s="1">
        <v>42359</v>
      </c>
      <c r="B176" s="5">
        <v>2021.150024</v>
      </c>
      <c r="C176" s="7">
        <f t="shared" si="18"/>
        <v>2.7172395329660298E-2</v>
      </c>
    </row>
    <row r="177" spans="1:3" x14ac:dyDescent="0.25">
      <c r="A177" s="1">
        <v>42360</v>
      </c>
      <c r="B177" s="5">
        <v>2038.969971</v>
      </c>
      <c r="C177" s="7">
        <f t="shared" si="18"/>
        <v>4.8345421562644243E-2</v>
      </c>
    </row>
    <row r="178" spans="1:3" x14ac:dyDescent="0.25">
      <c r="A178" s="1">
        <v>42361</v>
      </c>
      <c r="B178" s="5">
        <v>2064.290039</v>
      </c>
      <c r="C178" s="7">
        <f t="shared" si="18"/>
        <v>6.2737761902384254E-2</v>
      </c>
    </row>
    <row r="179" spans="1:3" x14ac:dyDescent="0.25">
      <c r="A179" s="1">
        <v>42362</v>
      </c>
      <c r="B179" s="5">
        <v>2060.98999</v>
      </c>
      <c r="C179" s="7">
        <f t="shared" si="18"/>
        <v>6.450649852857078E-2</v>
      </c>
    </row>
    <row r="180" spans="1:3" x14ac:dyDescent="0.25">
      <c r="A180" s="1">
        <v>42366</v>
      </c>
      <c r="B180" s="5">
        <v>2056.5</v>
      </c>
      <c r="C180" s="7">
        <f t="shared" si="18"/>
        <v>6.2791463772870204E-2</v>
      </c>
    </row>
    <row r="181" spans="1:3" x14ac:dyDescent="0.25">
      <c r="A181" s="1">
        <v>42367</v>
      </c>
      <c r="B181" s="5">
        <v>2078.360107</v>
      </c>
      <c r="C181" s="7">
        <f t="shared" si="18"/>
        <v>9.9366338749654878E-2</v>
      </c>
    </row>
    <row r="182" spans="1:3" x14ac:dyDescent="0.25">
      <c r="A182" s="1">
        <v>42368</v>
      </c>
      <c r="B182" s="5">
        <v>2063.360107</v>
      </c>
      <c r="C182" s="7">
        <f t="shared" si="18"/>
        <v>9.0890846205148645E-2</v>
      </c>
    </row>
    <row r="183" spans="1:3" x14ac:dyDescent="0.25">
      <c r="A183" s="1">
        <v>42369</v>
      </c>
      <c r="B183" s="5">
        <v>2043.9399410000001</v>
      </c>
      <c r="C183" s="7">
        <f t="shared" si="18"/>
        <v>6.2538462815808368E-2</v>
      </c>
    </row>
    <row r="184" spans="1:3" x14ac:dyDescent="0.25">
      <c r="A184" s="1">
        <v>42373</v>
      </c>
      <c r="B184" s="5">
        <v>2012.660034</v>
      </c>
      <c r="C184" s="7">
        <f t="shared" si="18"/>
        <v>4.5144482444779373E-2</v>
      </c>
    </row>
    <row r="185" spans="1:3" x14ac:dyDescent="0.25">
      <c r="A185" s="1">
        <v>42374</v>
      </c>
      <c r="B185" s="5">
        <v>2016.709961</v>
      </c>
      <c r="C185" s="7">
        <f t="shared" si="18"/>
        <v>3.2940893717911764E-2</v>
      </c>
    </row>
    <row r="186" spans="1:3" x14ac:dyDescent="0.25">
      <c r="A186" s="1">
        <v>42375</v>
      </c>
      <c r="B186" s="5">
        <v>1990.26001</v>
      </c>
      <c r="C186" s="7">
        <f t="shared" si="18"/>
        <v>1.614137016893042E-3</v>
      </c>
    </row>
    <row r="187" spans="1:3" x14ac:dyDescent="0.25">
      <c r="A187" s="1">
        <v>42376</v>
      </c>
      <c r="B187" s="5">
        <v>1943.089966</v>
      </c>
      <c r="C187" s="7">
        <f t="shared" si="18"/>
        <v>-1.877699012471782E-2</v>
      </c>
    </row>
    <row r="188" spans="1:3" x14ac:dyDescent="0.25">
      <c r="A188" s="1">
        <v>42377</v>
      </c>
      <c r="B188" s="5">
        <v>1922.030029</v>
      </c>
      <c r="C188" s="7">
        <f t="shared" si="18"/>
        <v>-3.7678047620030929E-2</v>
      </c>
    </row>
    <row r="189" spans="1:3" x14ac:dyDescent="0.25">
      <c r="A189" s="1">
        <v>42380</v>
      </c>
      <c r="B189" s="5">
        <v>1923.670044</v>
      </c>
      <c r="C189" s="7">
        <f t="shared" si="18"/>
        <v>-4.5604919456847165E-2</v>
      </c>
    </row>
    <row r="190" spans="1:3" x14ac:dyDescent="0.25">
      <c r="A190" s="1">
        <v>42381</v>
      </c>
      <c r="B190" s="5">
        <v>1938.6800539999999</v>
      </c>
      <c r="C190" s="7">
        <f t="shared" si="18"/>
        <v>-3.8557253809828704E-2</v>
      </c>
    </row>
    <row r="191" spans="1:3" x14ac:dyDescent="0.25">
      <c r="A191" s="1">
        <v>42382</v>
      </c>
      <c r="B191" s="5">
        <v>1890.280029</v>
      </c>
      <c r="C191" s="7">
        <f t="shared" si="18"/>
        <v>-6.5114293527724215E-2</v>
      </c>
    </row>
    <row r="192" spans="1:3" x14ac:dyDescent="0.25">
      <c r="A192" s="1">
        <v>42383</v>
      </c>
      <c r="B192" s="5">
        <v>1921.839966</v>
      </c>
      <c r="C192" s="7">
        <f t="shared" si="18"/>
        <v>-4.1707408418931655E-2</v>
      </c>
    </row>
    <row r="193" spans="1:3" x14ac:dyDescent="0.25">
      <c r="A193" s="1">
        <v>42384</v>
      </c>
      <c r="B193" s="5">
        <v>1880.329956</v>
      </c>
      <c r="C193" s="7">
        <f t="shared" si="18"/>
        <v>-5.8815750412961366E-2</v>
      </c>
    </row>
    <row r="194" spans="1:3" x14ac:dyDescent="0.25">
      <c r="A194" s="1">
        <v>42388</v>
      </c>
      <c r="B194" s="5">
        <v>1881.329956</v>
      </c>
      <c r="C194" s="7">
        <f t="shared" si="18"/>
        <v>-7.3027621520689201E-2</v>
      </c>
    </row>
    <row r="195" spans="1:3" x14ac:dyDescent="0.25">
      <c r="A195" s="1">
        <v>42389</v>
      </c>
      <c r="B195" s="5">
        <v>1859.329956</v>
      </c>
      <c r="C195" s="7">
        <f t="shared" ref="C195:C258" si="19">LN(B195/B131)</f>
        <v>-8.9350448921418898E-2</v>
      </c>
    </row>
    <row r="196" spans="1:3" x14ac:dyDescent="0.25">
      <c r="A196" s="1">
        <v>42390</v>
      </c>
      <c r="B196" s="5">
        <v>1868.98999</v>
      </c>
      <c r="C196" s="7">
        <f t="shared" si="19"/>
        <v>-8.4438969409895245E-2</v>
      </c>
    </row>
    <row r="197" spans="1:3" x14ac:dyDescent="0.25">
      <c r="A197" s="1">
        <v>42391</v>
      </c>
      <c r="B197" s="5">
        <v>1906.900024</v>
      </c>
      <c r="C197" s="7">
        <f t="shared" si="19"/>
        <v>-6.2936141882705465E-2</v>
      </c>
    </row>
    <row r="198" spans="1:3" x14ac:dyDescent="0.25">
      <c r="A198" s="1">
        <v>42394</v>
      </c>
      <c r="B198" s="5">
        <v>1877.079956</v>
      </c>
      <c r="C198" s="7">
        <f t="shared" si="19"/>
        <v>-7.2855237524344779E-2</v>
      </c>
    </row>
    <row r="199" spans="1:3" x14ac:dyDescent="0.25">
      <c r="A199" s="1">
        <v>42395</v>
      </c>
      <c r="B199" s="5">
        <v>1903.630005</v>
      </c>
      <c r="C199" s="7">
        <f t="shared" si="19"/>
        <v>-7.530084693128547E-2</v>
      </c>
    </row>
    <row r="200" spans="1:3" x14ac:dyDescent="0.25">
      <c r="A200" s="1">
        <v>42396</v>
      </c>
      <c r="B200" s="5">
        <v>1882.9499510000001</v>
      </c>
      <c r="C200" s="7">
        <f t="shared" si="19"/>
        <v>-9.7193723073856236E-2</v>
      </c>
    </row>
    <row r="201" spans="1:3" x14ac:dyDescent="0.25">
      <c r="A201" s="1">
        <v>42397</v>
      </c>
      <c r="B201" s="5">
        <v>1893.3599850000001</v>
      </c>
      <c r="C201" s="7">
        <f t="shared" si="19"/>
        <v>-8.9765439788729598E-2</v>
      </c>
    </row>
    <row r="202" spans="1:3" x14ac:dyDescent="0.25">
      <c r="A202" s="1">
        <v>42398</v>
      </c>
      <c r="B202" s="5">
        <v>1940.23999</v>
      </c>
      <c r="C202" s="7">
        <f t="shared" si="19"/>
        <v>-6.274940289489811E-2</v>
      </c>
    </row>
    <row r="203" spans="1:3" x14ac:dyDescent="0.25">
      <c r="A203" s="1">
        <v>42401</v>
      </c>
      <c r="B203" s="5">
        <v>1939.380005</v>
      </c>
      <c r="C203" s="7">
        <f t="shared" si="19"/>
        <v>-7.4963226007597569E-2</v>
      </c>
    </row>
    <row r="204" spans="1:3" x14ac:dyDescent="0.25">
      <c r="A204" s="1">
        <v>42402</v>
      </c>
      <c r="B204" s="5">
        <v>1903.030029</v>
      </c>
      <c r="C204" s="7">
        <f t="shared" si="19"/>
        <v>-9.3434319344801314E-2</v>
      </c>
    </row>
    <row r="205" spans="1:3" x14ac:dyDescent="0.25">
      <c r="A205" s="1">
        <v>42403</v>
      </c>
      <c r="B205" s="5">
        <v>1912.530029</v>
      </c>
      <c r="C205" s="7">
        <f t="shared" si="19"/>
        <v>-8.3633217483487246E-2</v>
      </c>
    </row>
    <row r="206" spans="1:3" x14ac:dyDescent="0.25">
      <c r="A206" s="1">
        <v>42404</v>
      </c>
      <c r="B206" s="5">
        <v>1915.4499510000001</v>
      </c>
      <c r="C206" s="7">
        <f t="shared" si="19"/>
        <v>-9.3911525748857805E-2</v>
      </c>
    </row>
    <row r="207" spans="1:3" x14ac:dyDescent="0.25">
      <c r="A207" s="1">
        <v>42405</v>
      </c>
      <c r="B207" s="5">
        <v>1880.0500489999999</v>
      </c>
      <c r="C207" s="7">
        <f t="shared" si="19"/>
        <v>-0.11529003665781437</v>
      </c>
    </row>
    <row r="208" spans="1:3" x14ac:dyDescent="0.25">
      <c r="A208" s="1">
        <v>42408</v>
      </c>
      <c r="B208" s="5">
        <v>1853.4399410000001</v>
      </c>
      <c r="C208" s="7">
        <f t="shared" si="19"/>
        <v>-0.12599342817469544</v>
      </c>
    </row>
    <row r="209" spans="1:3" x14ac:dyDescent="0.25">
      <c r="A209" s="1">
        <v>42409</v>
      </c>
      <c r="B209" s="5">
        <v>1852.209961</v>
      </c>
      <c r="C209" s="7">
        <f t="shared" si="19"/>
        <v>-0.12552447878992382</v>
      </c>
    </row>
    <row r="210" spans="1:3" x14ac:dyDescent="0.25">
      <c r="A210" s="1">
        <v>42410</v>
      </c>
      <c r="B210" s="5">
        <v>1851.8599850000001</v>
      </c>
      <c r="C210" s="7">
        <f t="shared" si="19"/>
        <v>-0.12536576511123429</v>
      </c>
    </row>
    <row r="211" spans="1:3" x14ac:dyDescent="0.25">
      <c r="A211" s="1">
        <v>42411</v>
      </c>
      <c r="B211" s="5">
        <v>1829.079956</v>
      </c>
      <c r="C211" s="7">
        <f t="shared" si="19"/>
        <v>-0.12787192164578318</v>
      </c>
    </row>
    <row r="212" spans="1:3" x14ac:dyDescent="0.25">
      <c r="A212" s="1">
        <v>42412</v>
      </c>
      <c r="B212" s="5">
        <v>1864.780029</v>
      </c>
      <c r="C212" s="7">
        <f t="shared" si="19"/>
        <v>-0.11005136192423676</v>
      </c>
    </row>
    <row r="213" spans="1:3" x14ac:dyDescent="0.25">
      <c r="A213" s="1">
        <v>42416</v>
      </c>
      <c r="B213" s="5">
        <v>1895.579956</v>
      </c>
      <c r="C213" s="7">
        <f t="shared" si="19"/>
        <v>-9.0436316588021398E-2</v>
      </c>
    </row>
    <row r="214" spans="1:3" x14ac:dyDescent="0.25">
      <c r="A214" s="1">
        <v>42417</v>
      </c>
      <c r="B214" s="5">
        <v>1926.8199460000001</v>
      </c>
      <c r="C214" s="7">
        <f t="shared" si="19"/>
        <v>-6.0001042892020108E-2</v>
      </c>
    </row>
    <row r="215" spans="1:3" x14ac:dyDescent="0.25">
      <c r="A215" s="1">
        <v>42418</v>
      </c>
      <c r="B215" s="5">
        <v>1917.829956</v>
      </c>
      <c r="C215" s="7">
        <f t="shared" si="19"/>
        <v>-5.34070342862977E-2</v>
      </c>
    </row>
    <row r="216" spans="1:3" x14ac:dyDescent="0.25">
      <c r="A216" s="1">
        <v>42419</v>
      </c>
      <c r="B216" s="5">
        <v>1917.780029</v>
      </c>
      <c r="C216" s="7">
        <f t="shared" si="19"/>
        <v>-6.8226370321651353E-2</v>
      </c>
    </row>
    <row r="217" spans="1:3" x14ac:dyDescent="0.25">
      <c r="A217" s="1">
        <v>42422</v>
      </c>
      <c r="B217" s="5">
        <v>1945.5</v>
      </c>
      <c r="C217" s="7">
        <f t="shared" si="19"/>
        <v>-5.2535362049261874E-2</v>
      </c>
    </row>
    <row r="218" spans="1:3" x14ac:dyDescent="0.25">
      <c r="A218" s="1">
        <v>42423</v>
      </c>
      <c r="B218" s="5">
        <v>1921.2700199999999</v>
      </c>
      <c r="C218" s="7">
        <f t="shared" si="19"/>
        <v>-8.1101169391378694E-2</v>
      </c>
    </row>
    <row r="219" spans="1:3" x14ac:dyDescent="0.25">
      <c r="A219" s="1">
        <v>42424</v>
      </c>
      <c r="B219" s="5">
        <v>1929.8000489999999</v>
      </c>
      <c r="C219" s="7">
        <f t="shared" si="19"/>
        <v>-7.5547469130062841E-2</v>
      </c>
    </row>
    <row r="220" spans="1:3" x14ac:dyDescent="0.25">
      <c r="A220" s="1">
        <v>42425</v>
      </c>
      <c r="B220" s="5">
        <v>1951.6999510000001</v>
      </c>
      <c r="C220" s="7">
        <f t="shared" si="19"/>
        <v>-6.8066058029334728E-2</v>
      </c>
    </row>
    <row r="221" spans="1:3" x14ac:dyDescent="0.25">
      <c r="A221" s="1">
        <v>42426</v>
      </c>
      <c r="B221" s="5">
        <v>1948.0500489999999</v>
      </c>
      <c r="C221" s="7">
        <f t="shared" si="19"/>
        <v>-6.8702299333507494E-2</v>
      </c>
    </row>
    <row r="222" spans="1:3" x14ac:dyDescent="0.25">
      <c r="A222" s="1">
        <v>42429</v>
      </c>
      <c r="B222" s="5">
        <v>1932.2299800000001</v>
      </c>
      <c r="C222" s="7">
        <f t="shared" si="19"/>
        <v>-7.8077680850383663E-2</v>
      </c>
    </row>
    <row r="223" spans="1:3" x14ac:dyDescent="0.25">
      <c r="A223" s="1">
        <v>42430</v>
      </c>
      <c r="B223" s="5">
        <v>1978.349976</v>
      </c>
      <c r="C223" s="7">
        <f t="shared" si="19"/>
        <v>-5.4360154090206905E-2</v>
      </c>
    </row>
    <row r="224" spans="1:3" x14ac:dyDescent="0.25">
      <c r="A224" s="1">
        <v>42431</v>
      </c>
      <c r="B224" s="5">
        <v>1986.4499510000001</v>
      </c>
      <c r="C224" s="7">
        <f t="shared" si="19"/>
        <v>-5.0867645972324592E-2</v>
      </c>
    </row>
    <row r="225" spans="1:3" x14ac:dyDescent="0.25">
      <c r="A225" s="1">
        <v>42432</v>
      </c>
      <c r="B225" s="5">
        <v>1993.400024</v>
      </c>
      <c r="C225" s="7">
        <f t="shared" si="19"/>
        <v>-4.2723211782851954E-2</v>
      </c>
    </row>
    <row r="226" spans="1:3" x14ac:dyDescent="0.25">
      <c r="A226" s="1">
        <v>42433</v>
      </c>
      <c r="B226" s="5">
        <v>1999.98999</v>
      </c>
      <c r="C226" s="7">
        <f t="shared" si="19"/>
        <v>-5.0046710914868682E-2</v>
      </c>
    </row>
    <row r="227" spans="1:3" x14ac:dyDescent="0.25">
      <c r="A227" s="1">
        <v>42436</v>
      </c>
      <c r="B227" s="5">
        <v>2001.76001</v>
      </c>
      <c r="C227" s="7">
        <f t="shared" si="19"/>
        <v>-3.8105495263816166E-2</v>
      </c>
    </row>
    <row r="228" spans="1:3" x14ac:dyDescent="0.25">
      <c r="A228" s="1">
        <v>42437</v>
      </c>
      <c r="B228" s="5">
        <v>1979.26001</v>
      </c>
      <c r="C228" s="7">
        <f t="shared" si="19"/>
        <v>-3.493142467015406E-2</v>
      </c>
    </row>
    <row r="229" spans="1:3" x14ac:dyDescent="0.25">
      <c r="A229" s="1">
        <v>42438</v>
      </c>
      <c r="B229" s="5">
        <v>1989.26001</v>
      </c>
      <c r="C229" s="7">
        <f t="shared" si="19"/>
        <v>-5.0209608149045772E-2</v>
      </c>
    </row>
    <row r="230" spans="1:3" x14ac:dyDescent="0.25">
      <c r="A230" s="1">
        <v>42439</v>
      </c>
      <c r="B230" s="5">
        <v>1989.5699460000001</v>
      </c>
      <c r="C230" s="7">
        <f t="shared" si="19"/>
        <v>-4.3039771675835288E-2</v>
      </c>
    </row>
    <row r="231" spans="1:3" x14ac:dyDescent="0.25">
      <c r="A231" s="1">
        <v>42440</v>
      </c>
      <c r="B231" s="5">
        <v>2022.1899410000001</v>
      </c>
      <c r="C231" s="7">
        <f t="shared" si="19"/>
        <v>-2.0266173743018808E-2</v>
      </c>
    </row>
    <row r="232" spans="1:3" x14ac:dyDescent="0.25">
      <c r="A232" s="1">
        <v>42443</v>
      </c>
      <c r="B232" s="5">
        <v>2019.6400149999999</v>
      </c>
      <c r="C232" s="7">
        <f t="shared" si="19"/>
        <v>-1.3758855508736741E-2</v>
      </c>
    </row>
    <row r="233" spans="1:3" x14ac:dyDescent="0.25">
      <c r="A233" s="1">
        <v>42444</v>
      </c>
      <c r="B233" s="5">
        <v>2015.9300539999999</v>
      </c>
      <c r="C233" s="7">
        <f t="shared" si="19"/>
        <v>-1.7846342881152989E-2</v>
      </c>
    </row>
    <row r="234" spans="1:3" x14ac:dyDescent="0.25">
      <c r="A234" s="1">
        <v>42445</v>
      </c>
      <c r="B234" s="5">
        <v>2027.219971</v>
      </c>
      <c r="C234" s="7">
        <f t="shared" si="19"/>
        <v>7.3522525893208708E-3</v>
      </c>
    </row>
    <row r="235" spans="1:3" x14ac:dyDescent="0.25">
      <c r="A235" s="1">
        <v>42446</v>
      </c>
      <c r="B235" s="5">
        <v>2040.589966</v>
      </c>
      <c r="C235" s="7">
        <f t="shared" si="19"/>
        <v>9.1815476781485442E-3</v>
      </c>
    </row>
    <row r="236" spans="1:3" x14ac:dyDescent="0.25">
      <c r="A236" s="1">
        <v>42447</v>
      </c>
      <c r="B236" s="5">
        <v>2049.580078</v>
      </c>
      <c r="C236" s="7">
        <f t="shared" si="19"/>
        <v>3.0149345612299075E-3</v>
      </c>
    </row>
    <row r="237" spans="1:3" x14ac:dyDescent="0.25">
      <c r="A237" s="1">
        <v>42450</v>
      </c>
      <c r="B237" s="5">
        <v>2051.6000979999999</v>
      </c>
      <c r="C237" s="7">
        <f t="shared" si="19"/>
        <v>-1.0410608871290007E-2</v>
      </c>
    </row>
    <row r="238" spans="1:3" x14ac:dyDescent="0.25">
      <c r="A238" s="1">
        <v>42451</v>
      </c>
      <c r="B238" s="5">
        <v>2049.8000489999999</v>
      </c>
      <c r="C238" s="7">
        <f t="shared" si="19"/>
        <v>3.8663944385825067E-3</v>
      </c>
    </row>
    <row r="239" spans="1:3" x14ac:dyDescent="0.25">
      <c r="A239" s="1">
        <v>42452</v>
      </c>
      <c r="B239" s="5">
        <v>2036.709961</v>
      </c>
      <c r="C239" s="7">
        <f t="shared" si="19"/>
        <v>1.5417379948334824E-2</v>
      </c>
    </row>
    <row r="240" spans="1:3" x14ac:dyDescent="0.25">
      <c r="A240" s="1">
        <v>42453</v>
      </c>
      <c r="B240" s="5">
        <v>2035.9399410000001</v>
      </c>
      <c r="C240" s="7">
        <f t="shared" si="19"/>
        <v>7.2909315021401312E-3</v>
      </c>
    </row>
    <row r="241" spans="1:3" x14ac:dyDescent="0.25">
      <c r="A241" s="1">
        <v>42457</v>
      </c>
      <c r="B241" s="5">
        <v>2037.0500489999999</v>
      </c>
      <c r="C241" s="7">
        <f t="shared" si="19"/>
        <v>-9.4205726790803229E-4</v>
      </c>
    </row>
    <row r="242" spans="1:3" x14ac:dyDescent="0.25">
      <c r="A242" s="1">
        <v>42458</v>
      </c>
      <c r="B242" s="5">
        <v>2055.01001</v>
      </c>
      <c r="C242" s="7">
        <f t="shared" si="19"/>
        <v>-4.5056415356712056E-3</v>
      </c>
    </row>
    <row r="243" spans="1:3" x14ac:dyDescent="0.25">
      <c r="A243" s="1">
        <v>42459</v>
      </c>
      <c r="B243" s="5">
        <v>2063.9499510000001</v>
      </c>
      <c r="C243" s="7">
        <f t="shared" si="19"/>
        <v>1.4351537478756952E-3</v>
      </c>
    </row>
    <row r="244" spans="1:3" x14ac:dyDescent="0.25">
      <c r="A244" s="1">
        <v>42460</v>
      </c>
      <c r="B244" s="5">
        <v>2059.73999</v>
      </c>
      <c r="C244" s="7">
        <f t="shared" si="19"/>
        <v>1.5742477003275327E-3</v>
      </c>
    </row>
    <row r="245" spans="1:3" x14ac:dyDescent="0.25">
      <c r="A245" s="1">
        <v>42461</v>
      </c>
      <c r="B245" s="5">
        <v>2072.780029</v>
      </c>
      <c r="C245" s="7">
        <f t="shared" si="19"/>
        <v>-2.688457232547905E-3</v>
      </c>
    </row>
    <row r="246" spans="1:3" x14ac:dyDescent="0.25">
      <c r="A246" s="1">
        <v>42464</v>
      </c>
      <c r="B246" s="5">
        <v>2066.1298830000001</v>
      </c>
      <c r="C246" s="7">
        <f t="shared" si="19"/>
        <v>1.3414617408265383E-3</v>
      </c>
    </row>
    <row r="247" spans="1:3" x14ac:dyDescent="0.25">
      <c r="A247" s="1">
        <v>42465</v>
      </c>
      <c r="B247" s="5">
        <v>2045.170044</v>
      </c>
      <c r="C247" s="7">
        <f t="shared" si="19"/>
        <v>6.0164830078846779E-4</v>
      </c>
    </row>
    <row r="248" spans="1:3" x14ac:dyDescent="0.25">
      <c r="A248" s="1">
        <v>42466</v>
      </c>
      <c r="B248" s="5">
        <v>2066.6599120000001</v>
      </c>
      <c r="C248" s="7">
        <f t="shared" si="19"/>
        <v>2.647648784146452E-2</v>
      </c>
    </row>
    <row r="249" spans="1:3" x14ac:dyDescent="0.25">
      <c r="A249" s="1">
        <v>42467</v>
      </c>
      <c r="B249" s="5">
        <v>2041.910034</v>
      </c>
      <c r="C249" s="7">
        <f t="shared" si="19"/>
        <v>1.241820957675375E-2</v>
      </c>
    </row>
    <row r="250" spans="1:3" x14ac:dyDescent="0.25">
      <c r="A250" s="1">
        <v>42468</v>
      </c>
      <c r="B250" s="5">
        <v>2047.599976</v>
      </c>
      <c r="C250" s="7">
        <f t="shared" si="19"/>
        <v>2.8403075387444639E-2</v>
      </c>
    </row>
    <row r="251" spans="1:3" x14ac:dyDescent="0.25">
      <c r="A251" s="1">
        <v>42471</v>
      </c>
      <c r="B251" s="5">
        <v>2041.98999</v>
      </c>
      <c r="C251" s="7">
        <f t="shared" si="19"/>
        <v>4.9645345725475E-2</v>
      </c>
    </row>
    <row r="252" spans="1:3" x14ac:dyDescent="0.25">
      <c r="A252" s="1">
        <v>42472</v>
      </c>
      <c r="B252" s="5">
        <v>2061.719971</v>
      </c>
      <c r="C252" s="7">
        <f t="shared" si="19"/>
        <v>7.0158637558418863E-2</v>
      </c>
    </row>
    <row r="253" spans="1:3" x14ac:dyDescent="0.25">
      <c r="A253" s="1">
        <v>42473</v>
      </c>
      <c r="B253" s="5">
        <v>2082.419922</v>
      </c>
      <c r="C253" s="7">
        <f t="shared" si="19"/>
        <v>7.9295798764298764E-2</v>
      </c>
    </row>
    <row r="254" spans="1:3" x14ac:dyDescent="0.25">
      <c r="A254" s="1">
        <v>42474</v>
      </c>
      <c r="B254" s="5">
        <v>2082.780029</v>
      </c>
      <c r="C254" s="7">
        <f t="shared" si="19"/>
        <v>7.1696196753418234E-2</v>
      </c>
    </row>
    <row r="255" spans="1:3" x14ac:dyDescent="0.25">
      <c r="A255" s="1">
        <v>42475</v>
      </c>
      <c r="B255" s="5">
        <v>2080.7299800000001</v>
      </c>
      <c r="C255" s="7">
        <f t="shared" si="19"/>
        <v>9.5993802478593834E-2</v>
      </c>
    </row>
    <row r="256" spans="1:3" x14ac:dyDescent="0.25">
      <c r="A256" s="1">
        <v>42478</v>
      </c>
      <c r="B256" s="5">
        <v>2094.3400879999999</v>
      </c>
      <c r="C256" s="7">
        <f t="shared" si="19"/>
        <v>8.5955467184962484E-2</v>
      </c>
    </row>
    <row r="257" spans="1:3" x14ac:dyDescent="0.25">
      <c r="A257" s="1">
        <v>42479</v>
      </c>
      <c r="B257" s="5">
        <v>2100.8000489999999</v>
      </c>
      <c r="C257" s="7">
        <f t="shared" si="19"/>
        <v>0.11087097793816297</v>
      </c>
    </row>
    <row r="258" spans="1:3" x14ac:dyDescent="0.25">
      <c r="A258" s="1">
        <v>42480</v>
      </c>
      <c r="B258" s="5">
        <v>2102.3999020000001</v>
      </c>
      <c r="C258" s="7">
        <f t="shared" si="19"/>
        <v>0.1111005525546355</v>
      </c>
    </row>
    <row r="259" spans="1:3" x14ac:dyDescent="0.25">
      <c r="A259" s="1">
        <v>42481</v>
      </c>
      <c r="B259" s="5">
        <v>2091.4799800000001</v>
      </c>
      <c r="C259" s="7">
        <f t="shared" ref="C259:C322" si="20">LN(B259/B195)</f>
        <v>0.11765575566296571</v>
      </c>
    </row>
    <row r="260" spans="1:3" x14ac:dyDescent="0.25">
      <c r="A260" s="1">
        <v>42482</v>
      </c>
      <c r="B260" s="5">
        <v>2091.580078</v>
      </c>
      <c r="C260" s="7">
        <f t="shared" si="20"/>
        <v>0.11252162586690795</v>
      </c>
    </row>
    <row r="261" spans="1:3" x14ac:dyDescent="0.25">
      <c r="A261" s="1">
        <v>42485</v>
      </c>
      <c r="B261" s="5">
        <v>2087.790039</v>
      </c>
      <c r="C261" s="7">
        <f t="shared" si="20"/>
        <v>9.0627209485496157E-2</v>
      </c>
    </row>
    <row r="262" spans="1:3" x14ac:dyDescent="0.25">
      <c r="A262" s="1">
        <v>42486</v>
      </c>
      <c r="B262" s="5">
        <v>2091.6999510000001</v>
      </c>
      <c r="C262" s="7">
        <f t="shared" si="20"/>
        <v>0.10825975459231574</v>
      </c>
    </row>
    <row r="263" spans="1:3" x14ac:dyDescent="0.25">
      <c r="A263" s="1">
        <v>42487</v>
      </c>
      <c r="B263" s="5">
        <v>2095.1499020000001</v>
      </c>
      <c r="C263" s="7">
        <f t="shared" si="20"/>
        <v>9.5862510701100995E-2</v>
      </c>
    </row>
    <row r="264" spans="1:3" x14ac:dyDescent="0.25">
      <c r="A264" s="1">
        <v>42488</v>
      </c>
      <c r="B264" s="5">
        <v>2075.8100589999999</v>
      </c>
      <c r="C264" s="7">
        <f t="shared" si="20"/>
        <v>9.7511797452683277E-2</v>
      </c>
    </row>
    <row r="265" spans="1:3" x14ac:dyDescent="0.25">
      <c r="A265" s="1">
        <v>42489</v>
      </c>
      <c r="B265" s="5">
        <v>2065.3000489999999</v>
      </c>
      <c r="C265" s="7">
        <f t="shared" si="20"/>
        <v>8.6922497486450492E-2</v>
      </c>
    </row>
    <row r="266" spans="1:3" x14ac:dyDescent="0.25">
      <c r="A266" s="1">
        <v>42492</v>
      </c>
      <c r="B266" s="5">
        <v>2081.429932</v>
      </c>
      <c r="C266" s="7">
        <f t="shared" si="20"/>
        <v>7.0243453213690563E-2</v>
      </c>
    </row>
    <row r="267" spans="1:3" x14ac:dyDescent="0.25">
      <c r="A267" s="1">
        <v>42493</v>
      </c>
      <c r="B267" s="5">
        <v>2063.3701169999999</v>
      </c>
      <c r="C267" s="7">
        <f t="shared" si="20"/>
        <v>6.1972288226085734E-2</v>
      </c>
    </row>
    <row r="268" spans="1:3" x14ac:dyDescent="0.25">
      <c r="A268" s="1">
        <v>42494</v>
      </c>
      <c r="B268" s="5">
        <v>2051.1201169999999</v>
      </c>
      <c r="C268" s="7">
        <f t="shared" si="20"/>
        <v>7.4938674454728404E-2</v>
      </c>
    </row>
    <row r="269" spans="1:3" x14ac:dyDescent="0.25">
      <c r="A269" s="1">
        <v>42495</v>
      </c>
      <c r="B269" s="5">
        <v>2050.6298830000001</v>
      </c>
      <c r="C269" s="7">
        <f t="shared" si="20"/>
        <v>6.9720017922434138E-2</v>
      </c>
    </row>
    <row r="270" spans="1:3" x14ac:dyDescent="0.25">
      <c r="A270" s="1">
        <v>42496</v>
      </c>
      <c r="B270" s="5">
        <v>2057.139893</v>
      </c>
      <c r="C270" s="7">
        <f t="shared" si="20"/>
        <v>7.1364060231610835E-2</v>
      </c>
    </row>
    <row r="271" spans="1:3" x14ac:dyDescent="0.25">
      <c r="A271" s="1">
        <v>42499</v>
      </c>
      <c r="B271" s="5">
        <v>2058.6899410000001</v>
      </c>
      <c r="C271" s="7">
        <f t="shared" si="20"/>
        <v>9.0771431232008606E-2</v>
      </c>
    </row>
    <row r="272" spans="1:3" x14ac:dyDescent="0.25">
      <c r="A272" s="1">
        <v>42500</v>
      </c>
      <c r="B272" s="5">
        <v>2084.389893</v>
      </c>
      <c r="C272" s="7">
        <f t="shared" si="20"/>
        <v>0.11743285510144211</v>
      </c>
    </row>
    <row r="273" spans="1:3" x14ac:dyDescent="0.25">
      <c r="A273" s="1">
        <v>42501</v>
      </c>
      <c r="B273" s="5">
        <v>2064.459961</v>
      </c>
      <c r="C273" s="7">
        <f t="shared" si="20"/>
        <v>0.10848917244528021</v>
      </c>
    </row>
    <row r="274" spans="1:3" x14ac:dyDescent="0.25">
      <c r="A274" s="1">
        <v>42502</v>
      </c>
      <c r="B274" s="5">
        <v>2064.110107</v>
      </c>
      <c r="C274" s="7">
        <f t="shared" si="20"/>
        <v>0.10850866129700296</v>
      </c>
    </row>
    <row r="275" spans="1:3" x14ac:dyDescent="0.25">
      <c r="A275" s="1">
        <v>42503</v>
      </c>
      <c r="B275" s="5">
        <v>2046.6099850000001</v>
      </c>
      <c r="C275" s="7">
        <f t="shared" si="20"/>
        <v>0.11237167433717066</v>
      </c>
    </row>
    <row r="276" spans="1:3" x14ac:dyDescent="0.25">
      <c r="A276" s="1">
        <v>42506</v>
      </c>
      <c r="B276" s="5">
        <v>2066.6599120000001</v>
      </c>
      <c r="C276" s="7">
        <f t="shared" si="20"/>
        <v>0.10279063576789407</v>
      </c>
    </row>
    <row r="277" spans="1:3" x14ac:dyDescent="0.25">
      <c r="A277" s="1">
        <v>42507</v>
      </c>
      <c r="B277" s="5">
        <v>2047.209961</v>
      </c>
      <c r="C277" s="7">
        <f t="shared" si="20"/>
        <v>7.6953034427148168E-2</v>
      </c>
    </row>
    <row r="278" spans="1:3" x14ac:dyDescent="0.25">
      <c r="A278" s="1">
        <v>42508</v>
      </c>
      <c r="B278" s="5">
        <v>2047.630005</v>
      </c>
      <c r="C278" s="7">
        <f t="shared" si="20"/>
        <v>6.0812081635780148E-2</v>
      </c>
    </row>
    <row r="279" spans="1:3" x14ac:dyDescent="0.25">
      <c r="A279" s="1">
        <v>42509</v>
      </c>
      <c r="B279" s="5">
        <v>2040.040039</v>
      </c>
      <c r="C279" s="7">
        <f t="shared" si="20"/>
        <v>6.1775119027621408E-2</v>
      </c>
    </row>
    <row r="280" spans="1:3" x14ac:dyDescent="0.25">
      <c r="A280" s="1">
        <v>42510</v>
      </c>
      <c r="B280" s="5">
        <v>2052.320068</v>
      </c>
      <c r="C280" s="7">
        <f t="shared" si="20"/>
        <v>6.7802611514043917E-2</v>
      </c>
    </row>
    <row r="281" spans="1:3" x14ac:dyDescent="0.25">
      <c r="A281" s="1">
        <v>42513</v>
      </c>
      <c r="B281" s="5">
        <v>2048.040039</v>
      </c>
      <c r="C281" s="7">
        <f t="shared" si="20"/>
        <v>5.1364243836654375E-2</v>
      </c>
    </row>
    <row r="282" spans="1:3" x14ac:dyDescent="0.25">
      <c r="A282" s="1">
        <v>42514</v>
      </c>
      <c r="B282" s="5">
        <v>2076.0600589999999</v>
      </c>
      <c r="C282" s="7">
        <f t="shared" si="20"/>
        <v>7.7485458923653994E-2</v>
      </c>
    </row>
    <row r="283" spans="1:3" x14ac:dyDescent="0.25">
      <c r="A283" s="1">
        <v>42515</v>
      </c>
      <c r="B283" s="5">
        <v>2090.540039</v>
      </c>
      <c r="C283" s="7">
        <f t="shared" si="20"/>
        <v>8.0006028469941384E-2</v>
      </c>
    </row>
    <row r="284" spans="1:3" x14ac:dyDescent="0.25">
      <c r="A284" s="1">
        <v>42516</v>
      </c>
      <c r="B284" s="5">
        <v>2090.1000979999999</v>
      </c>
      <c r="C284" s="7">
        <f t="shared" si="20"/>
        <v>6.8511196061052188E-2</v>
      </c>
    </row>
    <row r="285" spans="1:3" x14ac:dyDescent="0.25">
      <c r="A285" s="1">
        <v>42517</v>
      </c>
      <c r="B285" s="5">
        <v>2099.0600589999999</v>
      </c>
      <c r="C285" s="7">
        <f t="shared" si="20"/>
        <v>7.4660756182836102E-2</v>
      </c>
    </row>
    <row r="286" spans="1:3" x14ac:dyDescent="0.25">
      <c r="A286" s="1">
        <v>42521</v>
      </c>
      <c r="B286" s="5">
        <v>2096.9499510000001</v>
      </c>
      <c r="C286" s="7">
        <f t="shared" si="20"/>
        <v>8.1809118709139275E-2</v>
      </c>
    </row>
    <row r="287" spans="1:3" x14ac:dyDescent="0.25">
      <c r="A287" s="1">
        <v>42522</v>
      </c>
      <c r="B287" s="5">
        <v>2099.330078</v>
      </c>
      <c r="C287" s="7">
        <f t="shared" si="20"/>
        <v>5.9355131531975767E-2</v>
      </c>
    </row>
    <row r="288" spans="1:3" x14ac:dyDescent="0.25">
      <c r="A288" s="1">
        <v>42523</v>
      </c>
      <c r="B288" s="5">
        <v>2105.26001</v>
      </c>
      <c r="C288" s="7">
        <f t="shared" si="20"/>
        <v>5.8089878304552062E-2</v>
      </c>
    </row>
    <row r="289" spans="1:3" x14ac:dyDescent="0.25">
      <c r="A289" s="1">
        <v>42524</v>
      </c>
      <c r="B289" s="5">
        <v>2099.1298830000001</v>
      </c>
      <c r="C289" s="7">
        <f t="shared" si="20"/>
        <v>5.1681181846727722E-2</v>
      </c>
    </row>
    <row r="290" spans="1:3" x14ac:dyDescent="0.25">
      <c r="A290" s="1">
        <v>42527</v>
      </c>
      <c r="B290" s="5">
        <v>2109.4099120000001</v>
      </c>
      <c r="C290" s="7">
        <f t="shared" si="20"/>
        <v>5.3266070268447166E-2</v>
      </c>
    </row>
    <row r="291" spans="1:3" x14ac:dyDescent="0.25">
      <c r="A291" s="1">
        <v>42528</v>
      </c>
      <c r="B291" s="5">
        <v>2112.1298830000001</v>
      </c>
      <c r="C291" s="7">
        <f t="shared" si="20"/>
        <v>5.3670063003132214E-2</v>
      </c>
    </row>
    <row r="292" spans="1:3" x14ac:dyDescent="0.25">
      <c r="A292" s="1">
        <v>42529</v>
      </c>
      <c r="B292" s="5">
        <v>2119.1201169999999</v>
      </c>
      <c r="C292" s="7">
        <f t="shared" si="20"/>
        <v>6.8277920852509152E-2</v>
      </c>
    </row>
    <row r="293" spans="1:3" x14ac:dyDescent="0.25">
      <c r="A293" s="1">
        <v>42530</v>
      </c>
      <c r="B293" s="5">
        <v>2115.4799800000001</v>
      </c>
      <c r="C293" s="7">
        <f t="shared" si="20"/>
        <v>6.1519012339295687E-2</v>
      </c>
    </row>
    <row r="294" spans="1:3" x14ac:dyDescent="0.25">
      <c r="A294" s="1">
        <v>42531</v>
      </c>
      <c r="B294" s="5">
        <v>2096.070068</v>
      </c>
      <c r="C294" s="7">
        <f t="shared" si="20"/>
        <v>5.2145687445245149E-2</v>
      </c>
    </row>
    <row r="295" spans="1:3" x14ac:dyDescent="0.25">
      <c r="A295" s="1">
        <v>42534</v>
      </c>
      <c r="B295" s="5">
        <v>2079.0600589999999</v>
      </c>
      <c r="C295" s="7">
        <f t="shared" si="20"/>
        <v>2.7734843489143946E-2</v>
      </c>
    </row>
    <row r="296" spans="1:3" x14ac:dyDescent="0.25">
      <c r="A296" s="1">
        <v>42535</v>
      </c>
      <c r="B296" s="5">
        <v>2075.320068</v>
      </c>
      <c r="C296" s="7">
        <f t="shared" si="20"/>
        <v>2.7196106290249315E-2</v>
      </c>
    </row>
    <row r="297" spans="1:3" x14ac:dyDescent="0.25">
      <c r="A297" s="1">
        <v>42536</v>
      </c>
      <c r="B297" s="5">
        <v>2071.5</v>
      </c>
      <c r="C297" s="7">
        <f t="shared" si="20"/>
        <v>2.7192328364605924E-2</v>
      </c>
    </row>
    <row r="298" spans="1:3" x14ac:dyDescent="0.25">
      <c r="A298" s="1">
        <v>42537</v>
      </c>
      <c r="B298" s="5">
        <v>2077.98999</v>
      </c>
      <c r="C298" s="7">
        <f t="shared" si="20"/>
        <v>2.4735693478026979E-2</v>
      </c>
    </row>
    <row r="299" spans="1:3" x14ac:dyDescent="0.25">
      <c r="A299" s="1">
        <v>42538</v>
      </c>
      <c r="B299" s="5">
        <v>2071.219971</v>
      </c>
      <c r="C299" s="7">
        <f t="shared" si="20"/>
        <v>1.489882657933239E-2</v>
      </c>
    </row>
    <row r="300" spans="1:3" x14ac:dyDescent="0.25">
      <c r="A300" s="1">
        <v>42541</v>
      </c>
      <c r="B300" s="5">
        <v>2083.25</v>
      </c>
      <c r="C300" s="7">
        <f t="shared" si="20"/>
        <v>1.6294242112440616E-2</v>
      </c>
    </row>
    <row r="301" spans="1:3" x14ac:dyDescent="0.25">
      <c r="A301" s="1">
        <v>42542</v>
      </c>
      <c r="B301" s="5">
        <v>2088.8999020000001</v>
      </c>
      <c r="C301" s="7">
        <f t="shared" si="20"/>
        <v>1.8017540419257461E-2</v>
      </c>
    </row>
    <row r="302" spans="1:3" x14ac:dyDescent="0.25">
      <c r="A302" s="1">
        <v>42543</v>
      </c>
      <c r="B302" s="5">
        <v>2085.4499510000001</v>
      </c>
      <c r="C302" s="7">
        <f t="shared" si="20"/>
        <v>1.7242384485300386E-2</v>
      </c>
    </row>
    <row r="303" spans="1:3" x14ac:dyDescent="0.25">
      <c r="A303" s="1">
        <v>42544</v>
      </c>
      <c r="B303" s="5">
        <v>2113.320068</v>
      </c>
      <c r="C303" s="7">
        <f t="shared" si="20"/>
        <v>3.6924461053449209E-2</v>
      </c>
    </row>
    <row r="304" spans="1:3" x14ac:dyDescent="0.25">
      <c r="A304" s="1">
        <v>42545</v>
      </c>
      <c r="B304" s="5">
        <v>2037.410034</v>
      </c>
      <c r="C304" s="7">
        <f t="shared" si="20"/>
        <v>7.2181033932781176E-4</v>
      </c>
    </row>
    <row r="305" spans="1:3" x14ac:dyDescent="0.25">
      <c r="A305" s="1">
        <v>42548</v>
      </c>
      <c r="B305" s="5">
        <v>2000.540039</v>
      </c>
      <c r="C305" s="7">
        <f t="shared" si="20"/>
        <v>-1.8085543287408492E-2</v>
      </c>
    </row>
    <row r="306" spans="1:3" x14ac:dyDescent="0.25">
      <c r="A306" s="1">
        <v>42549</v>
      </c>
      <c r="B306" s="5">
        <v>2036.089966</v>
      </c>
      <c r="C306" s="7">
        <f t="shared" si="20"/>
        <v>-9.2494336477413168E-3</v>
      </c>
    </row>
    <row r="307" spans="1:3" x14ac:dyDescent="0.25">
      <c r="A307" s="1">
        <v>42550</v>
      </c>
      <c r="B307" s="5">
        <v>2070.7700199999999</v>
      </c>
      <c r="C307" s="7">
        <f t="shared" si="20"/>
        <v>3.2989296653856532E-3</v>
      </c>
    </row>
    <row r="308" spans="1:3" x14ac:dyDescent="0.25">
      <c r="A308" s="1">
        <v>42551</v>
      </c>
      <c r="B308" s="5">
        <v>2098.860107</v>
      </c>
      <c r="C308" s="7">
        <f t="shared" si="20"/>
        <v>1.8814634777619375E-2</v>
      </c>
    </row>
    <row r="309" spans="1:3" x14ac:dyDescent="0.25">
      <c r="A309" s="1">
        <v>42552</v>
      </c>
      <c r="B309" s="5">
        <v>2102.9499510000001</v>
      </c>
      <c r="C309" s="7">
        <f t="shared" si="20"/>
        <v>1.4450382152759976E-2</v>
      </c>
    </row>
    <row r="310" spans="1:3" x14ac:dyDescent="0.25">
      <c r="A310" s="1">
        <v>42556</v>
      </c>
      <c r="B310" s="5">
        <v>2088.5500489999999</v>
      </c>
      <c r="C310" s="7">
        <f t="shared" si="20"/>
        <v>1.0792833143065419E-2</v>
      </c>
    </row>
    <row r="311" spans="1:3" x14ac:dyDescent="0.25">
      <c r="A311" s="1">
        <v>42557</v>
      </c>
      <c r="B311" s="5">
        <v>2099.7299800000001</v>
      </c>
      <c r="C311" s="7">
        <f t="shared" si="20"/>
        <v>2.6327818371608611E-2</v>
      </c>
    </row>
    <row r="312" spans="1:3" x14ac:dyDescent="0.25">
      <c r="A312" s="1">
        <v>42558</v>
      </c>
      <c r="B312" s="5">
        <v>2097.8999020000001</v>
      </c>
      <c r="C312" s="7">
        <f t="shared" si="20"/>
        <v>1.5003062691914332E-2</v>
      </c>
    </row>
    <row r="313" spans="1:3" x14ac:dyDescent="0.25">
      <c r="A313" s="1">
        <v>42559</v>
      </c>
      <c r="B313" s="5">
        <v>2129.8999020000001</v>
      </c>
      <c r="C313" s="7">
        <f t="shared" si="20"/>
        <v>4.2189323265449517E-2</v>
      </c>
    </row>
    <row r="314" spans="1:3" x14ac:dyDescent="0.25">
      <c r="A314" s="1">
        <v>42562</v>
      </c>
      <c r="B314" s="5">
        <v>2137.1599120000001</v>
      </c>
      <c r="C314" s="7">
        <f t="shared" si="20"/>
        <v>4.2809439792828224E-2</v>
      </c>
    </row>
    <row r="315" spans="1:3" x14ac:dyDescent="0.25">
      <c r="A315" s="1">
        <v>42563</v>
      </c>
      <c r="B315" s="5">
        <v>2152.139893</v>
      </c>
      <c r="C315" s="7">
        <f t="shared" si="20"/>
        <v>5.2537828553977442E-2</v>
      </c>
    </row>
    <row r="316" spans="1:3" x14ac:dyDescent="0.25">
      <c r="A316" s="1">
        <v>42564</v>
      </c>
      <c r="B316" s="5">
        <v>2152.429932</v>
      </c>
      <c r="C316" s="7">
        <f t="shared" si="20"/>
        <v>4.3056833059734193E-2</v>
      </c>
    </row>
    <row r="317" spans="1:3" x14ac:dyDescent="0.25">
      <c r="A317" s="1">
        <v>42565</v>
      </c>
      <c r="B317" s="5">
        <v>2163.75</v>
      </c>
      <c r="C317" s="7">
        <f t="shared" si="20"/>
        <v>3.8312186009878402E-2</v>
      </c>
    </row>
    <row r="318" spans="1:3" x14ac:dyDescent="0.25">
      <c r="A318" s="1">
        <v>42566</v>
      </c>
      <c r="B318" s="5">
        <v>2161.73999</v>
      </c>
      <c r="C318" s="7">
        <f t="shared" si="20"/>
        <v>3.7209894614019398E-2</v>
      </c>
    </row>
    <row r="319" spans="1:3" x14ac:dyDescent="0.25">
      <c r="A319" s="1">
        <v>42569</v>
      </c>
      <c r="B319" s="5">
        <v>2166.889893</v>
      </c>
      <c r="C319" s="7">
        <f t="shared" si="20"/>
        <v>4.0574126397888724E-2</v>
      </c>
    </row>
    <row r="320" spans="1:3" x14ac:dyDescent="0.25">
      <c r="A320" s="1">
        <v>42570</v>
      </c>
      <c r="B320" s="5">
        <v>2163.780029</v>
      </c>
      <c r="C320" s="7">
        <f t="shared" si="20"/>
        <v>3.2618195674276346E-2</v>
      </c>
    </row>
    <row r="321" spans="1:3" x14ac:dyDescent="0.25">
      <c r="A321" s="1">
        <v>42571</v>
      </c>
      <c r="B321" s="5">
        <v>2173.0200199999999</v>
      </c>
      <c r="C321" s="7">
        <f t="shared" si="20"/>
        <v>3.3799666410499377E-2</v>
      </c>
    </row>
    <row r="322" spans="1:3" x14ac:dyDescent="0.25">
      <c r="A322" s="1">
        <v>42572</v>
      </c>
      <c r="B322" s="5">
        <v>2165.169922</v>
      </c>
      <c r="C322" s="7">
        <f t="shared" si="20"/>
        <v>2.9419341592076292E-2</v>
      </c>
    </row>
    <row r="323" spans="1:3" x14ac:dyDescent="0.25">
      <c r="A323" s="1">
        <v>42573</v>
      </c>
      <c r="B323" s="5">
        <v>2175.030029</v>
      </c>
      <c r="C323" s="7">
        <f t="shared" ref="C323:C386" si="21">LN(B323/B259)</f>
        <v>3.9170531105273992E-2</v>
      </c>
    </row>
    <row r="324" spans="1:3" x14ac:dyDescent="0.25">
      <c r="A324" s="1">
        <v>42576</v>
      </c>
      <c r="B324" s="5">
        <v>2168.4799800000001</v>
      </c>
      <c r="C324" s="7">
        <f t="shared" si="21"/>
        <v>3.6106653541770457E-2</v>
      </c>
    </row>
    <row r="325" spans="1:3" x14ac:dyDescent="0.25">
      <c r="A325" s="1">
        <v>42577</v>
      </c>
      <c r="B325" s="5">
        <v>2169.179932</v>
      </c>
      <c r="C325" s="7">
        <f t="shared" si="21"/>
        <v>3.8243075675263728E-2</v>
      </c>
    </row>
    <row r="326" spans="1:3" x14ac:dyDescent="0.25">
      <c r="A326" s="1">
        <v>42578</v>
      </c>
      <c r="B326" s="5">
        <v>2166.580078</v>
      </c>
      <c r="C326" s="7">
        <f t="shared" si="21"/>
        <v>3.5172814383084255E-2</v>
      </c>
    </row>
    <row r="327" spans="1:3" x14ac:dyDescent="0.25">
      <c r="A327" s="1">
        <v>42579</v>
      </c>
      <c r="B327" s="5">
        <v>2170.0600589999999</v>
      </c>
      <c r="C327" s="7">
        <f t="shared" si="21"/>
        <v>3.5129741046230761E-2</v>
      </c>
    </row>
    <row r="328" spans="1:3" x14ac:dyDescent="0.25">
      <c r="A328" s="1">
        <v>42580</v>
      </c>
      <c r="B328" s="5">
        <v>2173.6000979999999</v>
      </c>
      <c r="C328" s="7">
        <f t="shared" si="21"/>
        <v>4.6033356836615164E-2</v>
      </c>
    </row>
    <row r="329" spans="1:3" x14ac:dyDescent="0.25">
      <c r="A329" s="1">
        <v>42583</v>
      </c>
      <c r="B329" s="5">
        <v>2170.8400879999999</v>
      </c>
      <c r="C329" s="7">
        <f t="shared" si="21"/>
        <v>4.9838711924403568E-2</v>
      </c>
    </row>
    <row r="330" spans="1:3" x14ac:dyDescent="0.25">
      <c r="A330" s="1">
        <v>42584</v>
      </c>
      <c r="B330" s="5">
        <v>2157.030029</v>
      </c>
      <c r="C330" s="7">
        <f t="shared" si="21"/>
        <v>3.5677164137039384E-2</v>
      </c>
    </row>
    <row r="331" spans="1:3" x14ac:dyDescent="0.25">
      <c r="A331" s="1">
        <v>42585</v>
      </c>
      <c r="B331" s="5">
        <v>2163.790039</v>
      </c>
      <c r="C331" s="7">
        <f t="shared" si="21"/>
        <v>4.752070661378175E-2</v>
      </c>
    </row>
    <row r="332" spans="1:3" x14ac:dyDescent="0.25">
      <c r="A332" s="1">
        <v>42586</v>
      </c>
      <c r="B332" s="5">
        <v>2164.25</v>
      </c>
      <c r="C332" s="7">
        <f t="shared" si="21"/>
        <v>5.3687838648170602E-2</v>
      </c>
    </row>
    <row r="333" spans="1:3" x14ac:dyDescent="0.25">
      <c r="A333" s="1">
        <v>42587</v>
      </c>
      <c r="B333" s="5">
        <v>2182.8701169999999</v>
      </c>
      <c r="C333" s="7">
        <f t="shared" si="21"/>
        <v>6.249357236159999E-2</v>
      </c>
    </row>
    <row r="334" spans="1:3" x14ac:dyDescent="0.25">
      <c r="A334" s="1">
        <v>42590</v>
      </c>
      <c r="B334" s="5">
        <v>2180.889893</v>
      </c>
      <c r="C334" s="7">
        <f t="shared" si="21"/>
        <v>5.8416384682200589E-2</v>
      </c>
    </row>
    <row r="335" spans="1:3" x14ac:dyDescent="0.25">
      <c r="A335" s="1">
        <v>42591</v>
      </c>
      <c r="B335" s="5">
        <v>2181.73999</v>
      </c>
      <c r="C335" s="7">
        <f t="shared" si="21"/>
        <v>5.8052889462691951E-2</v>
      </c>
    </row>
    <row r="336" spans="1:3" x14ac:dyDescent="0.25">
      <c r="A336" s="1">
        <v>42592</v>
      </c>
      <c r="B336" s="5">
        <v>2175.48999</v>
      </c>
      <c r="C336" s="7">
        <f t="shared" si="21"/>
        <v>4.2777726763126217E-2</v>
      </c>
    </row>
    <row r="337" spans="1:3" x14ac:dyDescent="0.25">
      <c r="A337" s="1">
        <v>42593</v>
      </c>
      <c r="B337" s="5">
        <v>2185.790039</v>
      </c>
      <c r="C337" s="7">
        <f t="shared" si="21"/>
        <v>5.7108664994702137E-2</v>
      </c>
    </row>
    <row r="338" spans="1:3" x14ac:dyDescent="0.25">
      <c r="A338" s="1">
        <v>42594</v>
      </c>
      <c r="B338" s="5">
        <v>2184.0500489999999</v>
      </c>
      <c r="C338" s="7">
        <f t="shared" si="21"/>
        <v>5.6481781217701969E-2</v>
      </c>
    </row>
    <row r="339" spans="1:3" x14ac:dyDescent="0.25">
      <c r="A339" s="1">
        <v>42597</v>
      </c>
      <c r="B339" s="5">
        <v>2190.1499020000001</v>
      </c>
      <c r="C339" s="7">
        <f t="shared" si="21"/>
        <v>6.7785231405719945E-2</v>
      </c>
    </row>
    <row r="340" spans="1:3" x14ac:dyDescent="0.25">
      <c r="A340" s="1">
        <v>42598</v>
      </c>
      <c r="B340" s="5">
        <v>2178.1499020000001</v>
      </c>
      <c r="C340" s="7">
        <f t="shared" si="21"/>
        <v>5.254211267990979E-2</v>
      </c>
    </row>
    <row r="341" spans="1:3" x14ac:dyDescent="0.25">
      <c r="A341" s="1">
        <v>42599</v>
      </c>
      <c r="B341" s="5">
        <v>2182.219971</v>
      </c>
      <c r="C341" s="7">
        <f t="shared" si="21"/>
        <v>6.3864822448635283E-2</v>
      </c>
    </row>
    <row r="342" spans="1:3" x14ac:dyDescent="0.25">
      <c r="A342" s="1">
        <v>42600</v>
      </c>
      <c r="B342" s="5">
        <v>2187.0200199999999</v>
      </c>
      <c r="C342" s="7">
        <f t="shared" si="21"/>
        <v>6.585686651020517E-2</v>
      </c>
    </row>
    <row r="343" spans="1:3" x14ac:dyDescent="0.25">
      <c r="A343" s="1">
        <v>42601</v>
      </c>
      <c r="B343" s="5">
        <v>2183.8701169999999</v>
      </c>
      <c r="C343" s="7">
        <f t="shared" si="21"/>
        <v>6.8129151251835676E-2</v>
      </c>
    </row>
    <row r="344" spans="1:3" x14ac:dyDescent="0.25">
      <c r="A344" s="1">
        <v>42604</v>
      </c>
      <c r="B344" s="5">
        <v>2182.639893</v>
      </c>
      <c r="C344" s="7">
        <f t="shared" si="21"/>
        <v>6.1564210569321251E-2</v>
      </c>
    </row>
    <row r="345" spans="1:3" x14ac:dyDescent="0.25">
      <c r="A345" s="1">
        <v>42605</v>
      </c>
      <c r="B345" s="5">
        <v>2186.8999020000001</v>
      </c>
      <c r="C345" s="7">
        <f t="shared" si="21"/>
        <v>6.5601713820722468E-2</v>
      </c>
    </row>
    <row r="346" spans="1:3" x14ac:dyDescent="0.25">
      <c r="A346" s="1">
        <v>42606</v>
      </c>
      <c r="B346" s="5">
        <v>2175.4399410000001</v>
      </c>
      <c r="C346" s="7">
        <f t="shared" si="21"/>
        <v>4.675902077130234E-2</v>
      </c>
    </row>
    <row r="347" spans="1:3" x14ac:dyDescent="0.25">
      <c r="A347" s="1">
        <v>42607</v>
      </c>
      <c r="B347" s="5">
        <v>2172.469971</v>
      </c>
      <c r="C347" s="7">
        <f t="shared" si="21"/>
        <v>3.8442331272050281E-2</v>
      </c>
    </row>
    <row r="348" spans="1:3" x14ac:dyDescent="0.25">
      <c r="A348" s="1">
        <v>42608</v>
      </c>
      <c r="B348" s="5">
        <v>2169.040039</v>
      </c>
      <c r="C348" s="7">
        <f t="shared" si="21"/>
        <v>3.7072732723435448E-2</v>
      </c>
    </row>
    <row r="349" spans="1:3" x14ac:dyDescent="0.25">
      <c r="A349" s="1">
        <v>42611</v>
      </c>
      <c r="B349" s="5">
        <v>2180.3798830000001</v>
      </c>
      <c r="C349" s="7">
        <f t="shared" si="21"/>
        <v>3.8009466298405889E-2</v>
      </c>
    </row>
    <row r="350" spans="1:3" x14ac:dyDescent="0.25">
      <c r="A350" s="1">
        <v>42612</v>
      </c>
      <c r="B350" s="5">
        <v>2176.1201169999999</v>
      </c>
      <c r="C350" s="7">
        <f t="shared" si="21"/>
        <v>3.705964361521958E-2</v>
      </c>
    </row>
    <row r="351" spans="1:3" x14ac:dyDescent="0.25">
      <c r="A351" s="1">
        <v>42613</v>
      </c>
      <c r="B351" s="5">
        <v>2170.9499510000001</v>
      </c>
      <c r="C351" s="7">
        <f t="shared" si="21"/>
        <v>3.3546553840301398E-2</v>
      </c>
    </row>
    <row r="352" spans="1:3" x14ac:dyDescent="0.25">
      <c r="A352" s="1">
        <v>42614</v>
      </c>
      <c r="B352" s="5">
        <v>2170.860107</v>
      </c>
      <c r="C352" s="7">
        <f t="shared" si="21"/>
        <v>3.0684471997867491E-2</v>
      </c>
    </row>
    <row r="353" spans="1:3" x14ac:dyDescent="0.25">
      <c r="A353" s="1">
        <v>42615</v>
      </c>
      <c r="B353" s="5">
        <v>2179.9799800000001</v>
      </c>
      <c r="C353" s="7">
        <f t="shared" si="21"/>
        <v>3.7792775834913014E-2</v>
      </c>
    </row>
    <row r="354" spans="1:3" x14ac:dyDescent="0.25">
      <c r="A354" s="1">
        <v>42619</v>
      </c>
      <c r="B354" s="5">
        <v>2186.4799800000001</v>
      </c>
      <c r="C354" s="7">
        <f t="shared" si="21"/>
        <v>3.5884689827367741E-2</v>
      </c>
    </row>
    <row r="355" spans="1:3" x14ac:dyDescent="0.25">
      <c r="A355" s="1">
        <v>42620</v>
      </c>
      <c r="B355" s="5">
        <v>2186.1599120000001</v>
      </c>
      <c r="C355" s="7">
        <f t="shared" si="21"/>
        <v>3.4449678283607892E-2</v>
      </c>
    </row>
    <row r="356" spans="1:3" x14ac:dyDescent="0.25">
      <c r="A356" s="1">
        <v>42621</v>
      </c>
      <c r="B356" s="5">
        <v>2181.3000489999999</v>
      </c>
      <c r="C356" s="7">
        <f t="shared" si="21"/>
        <v>2.8920088425261233E-2</v>
      </c>
    </row>
    <row r="357" spans="1:3" x14ac:dyDescent="0.25">
      <c r="A357" s="1">
        <v>42622</v>
      </c>
      <c r="B357" s="5">
        <v>2127.8100589999999</v>
      </c>
      <c r="C357" s="7">
        <f t="shared" si="21"/>
        <v>5.8115818575485518E-3</v>
      </c>
    </row>
    <row r="358" spans="1:3" x14ac:dyDescent="0.25">
      <c r="A358" s="1">
        <v>42625</v>
      </c>
      <c r="B358" s="5">
        <v>2159.040039</v>
      </c>
      <c r="C358" s="7">
        <f t="shared" si="21"/>
        <v>2.9599501231147969E-2</v>
      </c>
    </row>
    <row r="359" spans="1:3" x14ac:dyDescent="0.25">
      <c r="A359" s="1">
        <v>42626</v>
      </c>
      <c r="B359" s="5">
        <v>2127.0200199999999</v>
      </c>
      <c r="C359" s="7">
        <f t="shared" si="21"/>
        <v>2.2806051625120775E-2</v>
      </c>
    </row>
    <row r="360" spans="1:3" x14ac:dyDescent="0.25">
      <c r="A360" s="1">
        <v>42627</v>
      </c>
      <c r="B360" s="5">
        <v>2125.7700199999999</v>
      </c>
      <c r="C360" s="7">
        <f t="shared" si="21"/>
        <v>2.4018707665976212E-2</v>
      </c>
    </row>
    <row r="361" spans="1:3" x14ac:dyDescent="0.25">
      <c r="A361" s="1">
        <v>42628</v>
      </c>
      <c r="B361" s="5">
        <v>2147.26001</v>
      </c>
      <c r="C361" s="7">
        <f t="shared" si="21"/>
        <v>3.5919632894702611E-2</v>
      </c>
    </row>
    <row r="362" spans="1:3" x14ac:dyDescent="0.25">
      <c r="A362" s="1">
        <v>42629</v>
      </c>
      <c r="B362" s="5">
        <v>2139.1599120000001</v>
      </c>
      <c r="C362" s="7">
        <f t="shared" si="21"/>
        <v>2.9012111940593766E-2</v>
      </c>
    </row>
    <row r="363" spans="1:3" x14ac:dyDescent="0.25">
      <c r="A363" s="1">
        <v>42632</v>
      </c>
      <c r="B363" s="5">
        <v>2139.1201169999999</v>
      </c>
      <c r="C363" s="7">
        <f t="shared" si="21"/>
        <v>3.2256792558732338E-2</v>
      </c>
    </row>
    <row r="364" spans="1:3" x14ac:dyDescent="0.25">
      <c r="A364" s="1">
        <v>42633</v>
      </c>
      <c r="B364" s="5">
        <v>2139.76001</v>
      </c>
      <c r="C364" s="7">
        <f t="shared" si="21"/>
        <v>2.6764503605063036E-2</v>
      </c>
    </row>
    <row r="365" spans="1:3" x14ac:dyDescent="0.25">
      <c r="A365" s="1">
        <v>42634</v>
      </c>
      <c r="B365" s="5">
        <v>2163.1201169999999</v>
      </c>
      <c r="C365" s="7">
        <f t="shared" si="21"/>
        <v>3.4914113302835795E-2</v>
      </c>
    </row>
    <row r="366" spans="1:3" x14ac:dyDescent="0.25">
      <c r="A366" s="1">
        <v>42635</v>
      </c>
      <c r="B366" s="5">
        <v>2177.179932</v>
      </c>
      <c r="C366" s="7">
        <f t="shared" si="21"/>
        <v>4.3045794386654422E-2</v>
      </c>
    </row>
    <row r="367" spans="1:3" x14ac:dyDescent="0.25">
      <c r="A367" s="1">
        <v>42636</v>
      </c>
      <c r="B367" s="5">
        <v>2164.6899410000001</v>
      </c>
      <c r="C367" s="7">
        <f t="shared" si="21"/>
        <v>2.4016934089881002E-2</v>
      </c>
    </row>
    <row r="368" spans="1:3" x14ac:dyDescent="0.25">
      <c r="A368" s="1">
        <v>42639</v>
      </c>
      <c r="B368" s="5">
        <v>2146.1000979999999</v>
      </c>
      <c r="C368" s="7">
        <f t="shared" si="21"/>
        <v>5.1972877043534621E-2</v>
      </c>
    </row>
    <row r="369" spans="1:3" x14ac:dyDescent="0.25">
      <c r="A369" s="1">
        <v>42640</v>
      </c>
      <c r="B369" s="5">
        <v>2159.929932</v>
      </c>
      <c r="C369" s="7">
        <f t="shared" si="21"/>
        <v>7.6658618669791359E-2</v>
      </c>
    </row>
    <row r="370" spans="1:3" x14ac:dyDescent="0.25">
      <c r="A370" s="1">
        <v>42641</v>
      </c>
      <c r="B370" s="5">
        <v>2171.3701169999999</v>
      </c>
      <c r="C370" s="7">
        <f t="shared" si="21"/>
        <v>6.4327073297119647E-2</v>
      </c>
    </row>
    <row r="371" spans="1:3" x14ac:dyDescent="0.25">
      <c r="A371" s="1">
        <v>42642</v>
      </c>
      <c r="B371" s="5">
        <v>2151.1298830000001</v>
      </c>
      <c r="C371" s="7">
        <f t="shared" si="21"/>
        <v>3.8072702631185076E-2</v>
      </c>
    </row>
    <row r="372" spans="1:3" x14ac:dyDescent="0.25">
      <c r="A372" s="1">
        <v>42643</v>
      </c>
      <c r="B372" s="5">
        <v>2168.2700199999999</v>
      </c>
      <c r="C372" s="7">
        <f t="shared" si="21"/>
        <v>3.253523262613621E-2</v>
      </c>
    </row>
    <row r="373" spans="1:3" x14ac:dyDescent="0.25">
      <c r="A373" s="1">
        <v>42646</v>
      </c>
      <c r="B373" s="5">
        <v>2161.1999510000001</v>
      </c>
      <c r="C373" s="7">
        <f t="shared" si="21"/>
        <v>2.7322502736591946E-2</v>
      </c>
    </row>
    <row r="374" spans="1:3" x14ac:dyDescent="0.25">
      <c r="A374" s="1">
        <v>42647</v>
      </c>
      <c r="B374" s="5">
        <v>2150.48999</v>
      </c>
      <c r="C374" s="7">
        <f t="shared" si="21"/>
        <v>2.9225649742345088E-2</v>
      </c>
    </row>
    <row r="375" spans="1:3" x14ac:dyDescent="0.25">
      <c r="A375" s="1">
        <v>42648</v>
      </c>
      <c r="B375" s="5">
        <v>2159.7299800000001</v>
      </c>
      <c r="C375" s="7">
        <f t="shared" si="21"/>
        <v>2.817444911274869E-2</v>
      </c>
    </row>
    <row r="376" spans="1:3" x14ac:dyDescent="0.25">
      <c r="A376" s="1">
        <v>42649</v>
      </c>
      <c r="B376" s="5">
        <v>2160.7700199999999</v>
      </c>
      <c r="C376" s="7">
        <f t="shared" si="21"/>
        <v>2.952785122667502E-2</v>
      </c>
    </row>
    <row r="377" spans="1:3" x14ac:dyDescent="0.25">
      <c r="A377" s="1">
        <v>42650</v>
      </c>
      <c r="B377" s="5">
        <v>2153.73999</v>
      </c>
      <c r="C377" s="7">
        <f t="shared" si="21"/>
        <v>1.1130876890848037E-2</v>
      </c>
    </row>
    <row r="378" spans="1:3" x14ac:dyDescent="0.25">
      <c r="A378" s="1">
        <v>42653</v>
      </c>
      <c r="B378" s="5">
        <v>2163.6599120000001</v>
      </c>
      <c r="C378" s="7">
        <f t="shared" si="21"/>
        <v>1.2323387844230585E-2</v>
      </c>
    </row>
    <row r="379" spans="1:3" x14ac:dyDescent="0.25">
      <c r="A379" s="1">
        <v>42654</v>
      </c>
      <c r="B379" s="5">
        <v>2136.7299800000001</v>
      </c>
      <c r="C379" s="7">
        <f t="shared" si="21"/>
        <v>-7.1860325769009309E-3</v>
      </c>
    </row>
    <row r="380" spans="1:3" x14ac:dyDescent="0.25">
      <c r="A380" s="1">
        <v>42655</v>
      </c>
      <c r="B380" s="5">
        <v>2139.179932</v>
      </c>
      <c r="C380" s="7">
        <f t="shared" si="21"/>
        <v>-6.1748586290464149E-3</v>
      </c>
    </row>
    <row r="381" spans="1:3" x14ac:dyDescent="0.25">
      <c r="A381" s="1">
        <v>42656</v>
      </c>
      <c r="B381" s="5">
        <v>2132.5500489999999</v>
      </c>
      <c r="C381" s="7">
        <f t="shared" si="21"/>
        <v>-1.4524357763415726E-2</v>
      </c>
    </row>
    <row r="382" spans="1:3" x14ac:dyDescent="0.25">
      <c r="A382" s="1">
        <v>42657</v>
      </c>
      <c r="B382" s="5">
        <v>2132.9799800000001</v>
      </c>
      <c r="C382" s="7">
        <f t="shared" si="21"/>
        <v>-1.3393394736362717E-2</v>
      </c>
    </row>
    <row r="383" spans="1:3" x14ac:dyDescent="0.25">
      <c r="A383" s="1">
        <v>42660</v>
      </c>
      <c r="B383" s="5">
        <v>2126.5</v>
      </c>
      <c r="C383" s="7">
        <f t="shared" si="21"/>
        <v>-1.8815474753419777E-2</v>
      </c>
    </row>
    <row r="384" spans="1:3" x14ac:dyDescent="0.25">
      <c r="A384" s="1">
        <v>42661</v>
      </c>
      <c r="B384" s="5">
        <v>2139.6000979999999</v>
      </c>
      <c r="C384" s="7">
        <f t="shared" si="21"/>
        <v>-1.1237764154751336E-2</v>
      </c>
    </row>
    <row r="385" spans="1:3" x14ac:dyDescent="0.25">
      <c r="A385" s="1">
        <v>42662</v>
      </c>
      <c r="B385" s="5">
        <v>2144.290039</v>
      </c>
      <c r="C385" s="7">
        <f t="shared" si="21"/>
        <v>-1.3309400857888549E-2</v>
      </c>
    </row>
    <row r="386" spans="1:3" x14ac:dyDescent="0.25">
      <c r="A386" s="1">
        <v>42663</v>
      </c>
      <c r="B386" s="5">
        <v>2141.3400879999999</v>
      </c>
      <c r="C386" s="7">
        <f t="shared" si="21"/>
        <v>-1.1067001894538176E-2</v>
      </c>
    </row>
    <row r="387" spans="1:3" x14ac:dyDescent="0.25">
      <c r="A387" s="1">
        <v>42664</v>
      </c>
      <c r="B387" s="5">
        <v>2141.1599120000001</v>
      </c>
      <c r="C387" s="7">
        <f t="shared" ref="C387:C450" si="22">LN(B387/B323)</f>
        <v>-1.5694773732138474E-2</v>
      </c>
    </row>
    <row r="388" spans="1:3" x14ac:dyDescent="0.25">
      <c r="A388" s="1">
        <v>42667</v>
      </c>
      <c r="B388" s="5">
        <v>2151.330078</v>
      </c>
      <c r="C388" s="7">
        <f t="shared" si="22"/>
        <v>-7.9401602721299834E-3</v>
      </c>
    </row>
    <row r="389" spans="1:3" x14ac:dyDescent="0.25">
      <c r="A389" s="1">
        <v>42668</v>
      </c>
      <c r="B389" s="5">
        <v>2143.1599120000001</v>
      </c>
      <c r="C389" s="7">
        <f t="shared" si="22"/>
        <v>-1.2067850272324977E-2</v>
      </c>
    </row>
    <row r="390" spans="1:3" x14ac:dyDescent="0.25">
      <c r="A390" s="1">
        <v>42669</v>
      </c>
      <c r="B390" s="5">
        <v>2139.429932</v>
      </c>
      <c r="C390" s="7">
        <f t="shared" si="22"/>
        <v>-1.2610516804324361E-2</v>
      </c>
    </row>
    <row r="391" spans="1:3" x14ac:dyDescent="0.25">
      <c r="A391" s="1">
        <v>42670</v>
      </c>
      <c r="B391" s="5">
        <v>2133.040039</v>
      </c>
      <c r="C391" s="7">
        <f t="shared" si="22"/>
        <v>-1.7206633600604794E-2</v>
      </c>
    </row>
    <row r="392" spans="1:3" x14ac:dyDescent="0.25">
      <c r="A392" s="1">
        <v>42671</v>
      </c>
      <c r="B392" s="5">
        <v>2126.4099120000001</v>
      </c>
      <c r="C392" s="7">
        <f t="shared" si="22"/>
        <v>-2.1949753850964225E-2</v>
      </c>
    </row>
    <row r="393" spans="1:3" x14ac:dyDescent="0.25">
      <c r="A393" s="1">
        <v>42674</v>
      </c>
      <c r="B393" s="5">
        <v>2126.1499020000001</v>
      </c>
      <c r="C393" s="7">
        <f t="shared" si="22"/>
        <v>-2.080144359014835E-2</v>
      </c>
    </row>
    <row r="394" spans="1:3" x14ac:dyDescent="0.25">
      <c r="A394" s="1">
        <v>42675</v>
      </c>
      <c r="B394" s="5">
        <v>2111.719971</v>
      </c>
      <c r="C394" s="7">
        <f t="shared" si="22"/>
        <v>-2.1229521395939113E-2</v>
      </c>
    </row>
    <row r="395" spans="1:3" x14ac:dyDescent="0.25">
      <c r="A395" s="1">
        <v>42676</v>
      </c>
      <c r="B395" s="5">
        <v>2097.9399410000001</v>
      </c>
      <c r="C395" s="7">
        <f t="shared" si="22"/>
        <v>-3.0905449008437925E-2</v>
      </c>
    </row>
    <row r="396" spans="1:3" x14ac:dyDescent="0.25">
      <c r="A396" s="1">
        <v>42677</v>
      </c>
      <c r="B396" s="5">
        <v>2088.6599120000001</v>
      </c>
      <c r="C396" s="7">
        <f t="shared" si="22"/>
        <v>-3.5551211218144745E-2</v>
      </c>
    </row>
    <row r="397" spans="1:3" x14ac:dyDescent="0.25">
      <c r="A397" s="1">
        <v>42678</v>
      </c>
      <c r="B397" s="5">
        <v>2085.179932</v>
      </c>
      <c r="C397" s="7">
        <f t="shared" si="22"/>
        <v>-4.5785428468608301E-2</v>
      </c>
    </row>
    <row r="398" spans="1:3" x14ac:dyDescent="0.25">
      <c r="A398" s="1">
        <v>42681</v>
      </c>
      <c r="B398" s="5">
        <v>2131.5200199999999</v>
      </c>
      <c r="C398" s="7">
        <f t="shared" si="22"/>
        <v>-2.2897651679373306E-2</v>
      </c>
    </row>
    <row r="399" spans="1:3" x14ac:dyDescent="0.25">
      <c r="A399" s="1">
        <v>42682</v>
      </c>
      <c r="B399" s="5">
        <v>2139.5600589999999</v>
      </c>
      <c r="C399" s="7">
        <f t="shared" si="22"/>
        <v>-1.9522490997942534E-2</v>
      </c>
    </row>
    <row r="400" spans="1:3" x14ac:dyDescent="0.25">
      <c r="A400" s="1">
        <v>42683</v>
      </c>
      <c r="B400" s="5">
        <v>2163.26001</v>
      </c>
      <c r="C400" s="7">
        <f t="shared" si="22"/>
        <v>-5.6375741360215666E-3</v>
      </c>
    </row>
    <row r="401" spans="1:3" x14ac:dyDescent="0.25">
      <c r="A401" s="1">
        <v>42684</v>
      </c>
      <c r="B401" s="5">
        <v>2167.4799800000001</v>
      </c>
      <c r="C401" s="7">
        <f t="shared" si="22"/>
        <v>-8.4121439261187966E-3</v>
      </c>
    </row>
    <row r="402" spans="1:3" x14ac:dyDescent="0.25">
      <c r="A402" s="1">
        <v>42685</v>
      </c>
      <c r="B402" s="5">
        <v>2164.4499510000001</v>
      </c>
      <c r="C402" s="7">
        <f t="shared" si="22"/>
        <v>-9.0147088574347861E-3</v>
      </c>
    </row>
    <row r="403" spans="1:3" x14ac:dyDescent="0.25">
      <c r="A403" s="1">
        <v>42688</v>
      </c>
      <c r="B403" s="5">
        <v>2164.1999510000001</v>
      </c>
      <c r="C403" s="7">
        <f t="shared" si="22"/>
        <v>-1.1919234373500655E-2</v>
      </c>
    </row>
    <row r="404" spans="1:3" x14ac:dyDescent="0.25">
      <c r="A404" s="1">
        <v>42689</v>
      </c>
      <c r="B404" s="5">
        <v>2180.389893</v>
      </c>
      <c r="C404" s="7">
        <f t="shared" si="22"/>
        <v>1.0278631388348793E-3</v>
      </c>
    </row>
    <row r="405" spans="1:3" x14ac:dyDescent="0.25">
      <c r="A405" s="1">
        <v>42690</v>
      </c>
      <c r="B405" s="5">
        <v>2176.9399410000001</v>
      </c>
      <c r="C405" s="7">
        <f t="shared" si="22"/>
        <v>-2.422500063657775E-3</v>
      </c>
    </row>
    <row r="406" spans="1:3" x14ac:dyDescent="0.25">
      <c r="A406" s="1">
        <v>42691</v>
      </c>
      <c r="B406" s="5">
        <v>2187.1201169999999</v>
      </c>
      <c r="C406" s="7">
        <f t="shared" si="22"/>
        <v>4.576762375339015E-5</v>
      </c>
    </row>
    <row r="407" spans="1:3" x14ac:dyDescent="0.25">
      <c r="A407" s="1">
        <v>42692</v>
      </c>
      <c r="B407" s="5">
        <v>2181.8999020000001</v>
      </c>
      <c r="C407" s="7">
        <f t="shared" si="22"/>
        <v>-9.0257394465425125E-4</v>
      </c>
    </row>
    <row r="408" spans="1:3" x14ac:dyDescent="0.25">
      <c r="A408" s="1">
        <v>42695</v>
      </c>
      <c r="B408" s="5">
        <v>2198.179932</v>
      </c>
      <c r="C408" s="7">
        <f t="shared" si="22"/>
        <v>7.0946100514328557E-3</v>
      </c>
    </row>
    <row r="409" spans="1:3" x14ac:dyDescent="0.25">
      <c r="A409" s="1">
        <v>42696</v>
      </c>
      <c r="B409" s="5">
        <v>2202.9399410000001</v>
      </c>
      <c r="C409" s="7">
        <f t="shared" si="22"/>
        <v>7.3078339792366914E-3</v>
      </c>
    </row>
    <row r="410" spans="1:3" x14ac:dyDescent="0.25">
      <c r="A410" s="1">
        <v>42697</v>
      </c>
      <c r="B410" s="5">
        <v>2204.719971</v>
      </c>
      <c r="C410" s="7">
        <f t="shared" si="22"/>
        <v>1.336958774444213E-2</v>
      </c>
    </row>
    <row r="411" spans="1:3" x14ac:dyDescent="0.25">
      <c r="A411" s="1">
        <v>42699</v>
      </c>
      <c r="B411" s="5">
        <v>2213.3500979999999</v>
      </c>
      <c r="C411" s="7">
        <f t="shared" si="22"/>
        <v>1.8642493451767529E-2</v>
      </c>
    </row>
    <row r="412" spans="1:3" x14ac:dyDescent="0.25">
      <c r="A412" s="1">
        <v>42702</v>
      </c>
      <c r="B412" s="5">
        <v>2201.719971</v>
      </c>
      <c r="C412" s="7">
        <f t="shared" si="22"/>
        <v>1.4954168580743639E-2</v>
      </c>
    </row>
    <row r="413" spans="1:3" x14ac:dyDescent="0.25">
      <c r="A413" s="1">
        <v>42703</v>
      </c>
      <c r="B413" s="5">
        <v>2204.6599120000001</v>
      </c>
      <c r="C413" s="7">
        <f t="shared" si="22"/>
        <v>1.1074142206074044E-2</v>
      </c>
    </row>
    <row r="414" spans="1:3" x14ac:dyDescent="0.25">
      <c r="A414" s="1">
        <v>42704</v>
      </c>
      <c r="B414" s="5">
        <v>2198.8100589999999</v>
      </c>
      <c r="C414" s="7">
        <f t="shared" si="22"/>
        <v>1.0372803464566841E-2</v>
      </c>
    </row>
    <row r="415" spans="1:3" x14ac:dyDescent="0.25">
      <c r="A415" s="1">
        <v>42705</v>
      </c>
      <c r="B415" s="5">
        <v>2191.080078</v>
      </c>
      <c r="C415" s="7">
        <f t="shared" si="22"/>
        <v>9.2297713545648752E-3</v>
      </c>
    </row>
    <row r="416" spans="1:3" x14ac:dyDescent="0.25">
      <c r="A416" s="1">
        <v>42706</v>
      </c>
      <c r="B416" s="5">
        <v>2191.9499510000001</v>
      </c>
      <c r="C416" s="7">
        <f t="shared" si="22"/>
        <v>9.6680845578637608E-3</v>
      </c>
    </row>
    <row r="417" spans="1:3" x14ac:dyDescent="0.25">
      <c r="A417" s="1">
        <v>42709</v>
      </c>
      <c r="B417" s="5">
        <v>2204.709961</v>
      </c>
      <c r="C417" s="7">
        <f t="shared" si="22"/>
        <v>1.1280270013022583E-2</v>
      </c>
    </row>
    <row r="418" spans="1:3" x14ac:dyDescent="0.25">
      <c r="A418" s="1">
        <v>42710</v>
      </c>
      <c r="B418" s="5">
        <v>2212.2299800000001</v>
      </c>
      <c r="C418" s="7">
        <f t="shared" si="22"/>
        <v>1.170811187101398E-2</v>
      </c>
    </row>
    <row r="419" spans="1:3" x14ac:dyDescent="0.25">
      <c r="A419" s="1">
        <v>42711</v>
      </c>
      <c r="B419" s="5">
        <v>2241.3500979999999</v>
      </c>
      <c r="C419" s="7">
        <f t="shared" si="22"/>
        <v>2.4931866754933283E-2</v>
      </c>
    </row>
    <row r="420" spans="1:3" x14ac:dyDescent="0.25">
      <c r="A420" s="1">
        <v>42712</v>
      </c>
      <c r="B420" s="5">
        <v>2246.1899410000001</v>
      </c>
      <c r="C420" s="7">
        <f t="shared" si="22"/>
        <v>2.9314369501220027E-2</v>
      </c>
    </row>
    <row r="421" spans="1:3" x14ac:dyDescent="0.25">
      <c r="A421" s="1">
        <v>42713</v>
      </c>
      <c r="B421" s="5">
        <v>2259.530029</v>
      </c>
      <c r="C421" s="7">
        <f t="shared" si="22"/>
        <v>6.0063530382370951E-2</v>
      </c>
    </row>
    <row r="422" spans="1:3" x14ac:dyDescent="0.25">
      <c r="A422" s="1">
        <v>42716</v>
      </c>
      <c r="B422" s="5">
        <v>2256.959961</v>
      </c>
      <c r="C422" s="7">
        <f t="shared" si="22"/>
        <v>4.4355061237289078E-2</v>
      </c>
    </row>
    <row r="423" spans="1:3" x14ac:dyDescent="0.25">
      <c r="A423" s="1">
        <v>42717</v>
      </c>
      <c r="B423" s="5">
        <v>2271.719971</v>
      </c>
      <c r="C423" s="7">
        <f t="shared" si="22"/>
        <v>6.5815292570400905E-2</v>
      </c>
    </row>
    <row r="424" spans="1:3" x14ac:dyDescent="0.25">
      <c r="A424" s="1">
        <v>42718</v>
      </c>
      <c r="B424" s="5">
        <v>2253.280029</v>
      </c>
      <c r="C424" s="7">
        <f t="shared" si="22"/>
        <v>5.8252846245790364E-2</v>
      </c>
    </row>
    <row r="425" spans="1:3" x14ac:dyDescent="0.25">
      <c r="A425" s="1">
        <v>42719</v>
      </c>
      <c r="B425" s="5">
        <v>2262.030029</v>
      </c>
      <c r="C425" s="7">
        <f t="shared" si="22"/>
        <v>5.2070037595771376E-2</v>
      </c>
    </row>
    <row r="426" spans="1:3" x14ac:dyDescent="0.25">
      <c r="A426" s="1">
        <v>42720</v>
      </c>
      <c r="B426" s="5">
        <v>2258.070068</v>
      </c>
      <c r="C426" s="7">
        <f t="shared" si="22"/>
        <v>5.4097308772735019E-2</v>
      </c>
    </row>
    <row r="427" spans="1:3" x14ac:dyDescent="0.25">
      <c r="A427" s="1">
        <v>42723</v>
      </c>
      <c r="B427" s="5">
        <v>2262.530029</v>
      </c>
      <c r="C427" s="7">
        <f t="shared" si="22"/>
        <v>5.608908478623157E-2</v>
      </c>
    </row>
    <row r="428" spans="1:3" x14ac:dyDescent="0.25">
      <c r="A428" s="1">
        <v>42724</v>
      </c>
      <c r="B428" s="5">
        <v>2270.76001</v>
      </c>
      <c r="C428" s="7">
        <f t="shared" si="22"/>
        <v>5.9420903740392085E-2</v>
      </c>
    </row>
    <row r="429" spans="1:3" x14ac:dyDescent="0.25">
      <c r="A429" s="1">
        <v>42725</v>
      </c>
      <c r="B429" s="5">
        <v>2265.179932</v>
      </c>
      <c r="C429" s="7">
        <f t="shared" si="22"/>
        <v>4.6102517933729735E-2</v>
      </c>
    </row>
    <row r="430" spans="1:3" x14ac:dyDescent="0.25">
      <c r="A430" s="1">
        <v>42726</v>
      </c>
      <c r="B430" s="5">
        <v>2260.959961</v>
      </c>
      <c r="C430" s="7">
        <f t="shared" si="22"/>
        <v>3.7759054410937631E-2</v>
      </c>
    </row>
    <row r="431" spans="1:3" x14ac:dyDescent="0.25">
      <c r="A431" s="1">
        <v>42727</v>
      </c>
      <c r="B431" s="5">
        <v>2263.790039</v>
      </c>
      <c r="C431" s="7">
        <f t="shared" si="22"/>
        <v>4.4763280203219506E-2</v>
      </c>
    </row>
    <row r="432" spans="1:3" x14ac:dyDescent="0.25">
      <c r="A432" s="1">
        <v>42731</v>
      </c>
      <c r="B432" s="5">
        <v>2268.8798830000001</v>
      </c>
      <c r="C432" s="7">
        <f t="shared" si="22"/>
        <v>5.563397898808748E-2</v>
      </c>
    </row>
    <row r="433" spans="1:3" x14ac:dyDescent="0.25">
      <c r="A433" s="1">
        <v>42732</v>
      </c>
      <c r="B433" s="5">
        <v>2249.919922</v>
      </c>
      <c r="C433" s="7">
        <f t="shared" si="22"/>
        <v>4.0818843079726989E-2</v>
      </c>
    </row>
    <row r="434" spans="1:3" x14ac:dyDescent="0.25">
      <c r="A434" s="1">
        <v>42733</v>
      </c>
      <c r="B434" s="5">
        <v>2249.26001</v>
      </c>
      <c r="C434" s="7">
        <f t="shared" si="22"/>
        <v>3.5242919045593173E-2</v>
      </c>
    </row>
    <row r="435" spans="1:3" x14ac:dyDescent="0.25">
      <c r="A435" s="1">
        <v>42734</v>
      </c>
      <c r="B435" s="5">
        <v>2238.830078</v>
      </c>
      <c r="C435" s="7">
        <f t="shared" si="22"/>
        <v>3.9960211745271923E-2</v>
      </c>
    </row>
    <row r="436" spans="1:3" x14ac:dyDescent="0.25">
      <c r="A436" s="1">
        <v>42738</v>
      </c>
      <c r="B436" s="5">
        <v>2257.830078</v>
      </c>
      <c r="C436" s="7">
        <f t="shared" si="22"/>
        <v>4.0474585781848545E-2</v>
      </c>
    </row>
    <row r="437" spans="1:3" x14ac:dyDescent="0.25">
      <c r="A437" s="1">
        <v>42739</v>
      </c>
      <c r="B437" s="5">
        <v>2270.75</v>
      </c>
      <c r="C437" s="7">
        <f t="shared" si="22"/>
        <v>4.9446573085001833E-2</v>
      </c>
    </row>
    <row r="438" spans="1:3" x14ac:dyDescent="0.25">
      <c r="A438" s="1">
        <v>42740</v>
      </c>
      <c r="B438" s="5">
        <v>2269</v>
      </c>
      <c r="C438" s="7">
        <f t="shared" si="22"/>
        <v>5.3643487298341792E-2</v>
      </c>
    </row>
    <row r="439" spans="1:3" x14ac:dyDescent="0.25">
      <c r="A439" s="1">
        <v>42741</v>
      </c>
      <c r="B439" s="5">
        <v>2276.9799800000001</v>
      </c>
      <c r="C439" s="7">
        <f t="shared" si="22"/>
        <v>5.2866790149913322E-2</v>
      </c>
    </row>
    <row r="440" spans="1:3" x14ac:dyDescent="0.25">
      <c r="A440" s="1">
        <v>42744</v>
      </c>
      <c r="B440" s="5">
        <v>2268.8999020000001</v>
      </c>
      <c r="C440" s="7">
        <f t="shared" si="22"/>
        <v>4.883044044613128E-2</v>
      </c>
    </row>
    <row r="441" spans="1:3" x14ac:dyDescent="0.25">
      <c r="A441" s="1">
        <v>42745</v>
      </c>
      <c r="B441" s="5">
        <v>2268.8999020000001</v>
      </c>
      <c r="C441" s="7">
        <f t="shared" si="22"/>
        <v>5.2089228213504174E-2</v>
      </c>
    </row>
    <row r="442" spans="1:3" x14ac:dyDescent="0.25">
      <c r="A442" s="1">
        <v>42746</v>
      </c>
      <c r="B442" s="5">
        <v>2275.320068</v>
      </c>
      <c r="C442" s="7">
        <f t="shared" si="22"/>
        <v>5.031954022057078E-2</v>
      </c>
    </row>
    <row r="443" spans="1:3" x14ac:dyDescent="0.25">
      <c r="A443" s="1">
        <v>42747</v>
      </c>
      <c r="B443" s="5">
        <v>2270.4399410000001</v>
      </c>
      <c r="C443" s="7">
        <f t="shared" si="22"/>
        <v>6.0697005672438277E-2</v>
      </c>
    </row>
    <row r="444" spans="1:3" x14ac:dyDescent="0.25">
      <c r="A444" s="1">
        <v>42748</v>
      </c>
      <c r="B444" s="5">
        <v>2274.639893</v>
      </c>
      <c r="C444" s="7">
        <f t="shared" si="22"/>
        <v>6.1399204838211145E-2</v>
      </c>
    </row>
    <row r="445" spans="1:3" x14ac:dyDescent="0.25">
      <c r="A445" s="1">
        <v>42752</v>
      </c>
      <c r="B445" s="5">
        <v>2267.889893</v>
      </c>
      <c r="C445" s="7">
        <f t="shared" si="22"/>
        <v>6.1531366882179354E-2</v>
      </c>
    </row>
    <row r="446" spans="1:3" x14ac:dyDescent="0.25">
      <c r="A446" s="1">
        <v>42753</v>
      </c>
      <c r="B446" s="5">
        <v>2271.889893</v>
      </c>
      <c r="C446" s="7">
        <f t="shared" si="22"/>
        <v>6.3091983492899059E-2</v>
      </c>
    </row>
    <row r="447" spans="1:3" x14ac:dyDescent="0.25">
      <c r="A447" s="1">
        <v>42754</v>
      </c>
      <c r="B447" s="5">
        <v>2263.6899410000001</v>
      </c>
      <c r="C447" s="7">
        <f t="shared" si="22"/>
        <v>6.2518763395500027E-2</v>
      </c>
    </row>
    <row r="448" spans="1:3" x14ac:dyDescent="0.25">
      <c r="A448" s="1">
        <v>42755</v>
      </c>
      <c r="B448" s="5">
        <v>2271.3100589999999</v>
      </c>
      <c r="C448" s="7">
        <f t="shared" si="22"/>
        <v>5.9737842048765512E-2</v>
      </c>
    </row>
    <row r="449" spans="1:3" x14ac:dyDescent="0.25">
      <c r="A449" s="1">
        <v>42758</v>
      </c>
      <c r="B449" s="5">
        <v>2265.1999510000001</v>
      </c>
      <c r="C449" s="7">
        <f t="shared" si="22"/>
        <v>5.4854520182415482E-2</v>
      </c>
    </row>
    <row r="450" spans="1:3" x14ac:dyDescent="0.25">
      <c r="A450" s="1">
        <v>42759</v>
      </c>
      <c r="B450" s="5">
        <v>2280.070068</v>
      </c>
      <c r="C450" s="7">
        <f t="shared" si="22"/>
        <v>6.2774331680794326E-2</v>
      </c>
    </row>
    <row r="451" spans="1:3" x14ac:dyDescent="0.25">
      <c r="A451" s="1">
        <v>42760</v>
      </c>
      <c r="B451" s="5">
        <v>2298.3701169999999</v>
      </c>
      <c r="C451" s="7">
        <f t="shared" ref="C451:C514" si="23">LN(B451/B387)</f>
        <v>7.0852529795113944E-2</v>
      </c>
    </row>
    <row r="452" spans="1:3" x14ac:dyDescent="0.25">
      <c r="A452" s="1">
        <v>42761</v>
      </c>
      <c r="B452" s="5">
        <v>2296.679932</v>
      </c>
      <c r="C452" s="7">
        <f t="shared" si="23"/>
        <v>6.5378280457500326E-2</v>
      </c>
    </row>
    <row r="453" spans="1:3" x14ac:dyDescent="0.25">
      <c r="A453" s="1">
        <v>42762</v>
      </c>
      <c r="B453" s="5">
        <v>2294.6899410000001</v>
      </c>
      <c r="C453" s="7">
        <f t="shared" si="23"/>
        <v>6.8316398091880864E-2</v>
      </c>
    </row>
    <row r="454" spans="1:3" x14ac:dyDescent="0.25">
      <c r="A454" s="1">
        <v>42765</v>
      </c>
      <c r="B454" s="5">
        <v>2280.8999020000001</v>
      </c>
      <c r="C454" s="7">
        <f t="shared" si="23"/>
        <v>6.4030652324291323E-2</v>
      </c>
    </row>
    <row r="455" spans="1:3" x14ac:dyDescent="0.25">
      <c r="A455" s="1">
        <v>42766</v>
      </c>
      <c r="B455" s="5">
        <v>2278.8701169999999</v>
      </c>
      <c r="C455" s="7">
        <f t="shared" si="23"/>
        <v>6.6131546887975901E-2</v>
      </c>
    </row>
    <row r="456" spans="1:3" x14ac:dyDescent="0.25">
      <c r="A456" s="1">
        <v>42767</v>
      </c>
      <c r="B456" s="5">
        <v>2279.5500489999999</v>
      </c>
      <c r="C456" s="7">
        <f t="shared" si="23"/>
        <v>6.9543006195529056E-2</v>
      </c>
    </row>
    <row r="457" spans="1:3" x14ac:dyDescent="0.25">
      <c r="A457" s="1">
        <v>42768</v>
      </c>
      <c r="B457" s="5">
        <v>2280.8500979999999</v>
      </c>
      <c r="C457" s="7">
        <f t="shared" si="23"/>
        <v>7.0235437103971982E-2</v>
      </c>
    </row>
    <row r="458" spans="1:3" x14ac:dyDescent="0.25">
      <c r="A458" s="1">
        <v>42769</v>
      </c>
      <c r="B458" s="5">
        <v>2297.419922</v>
      </c>
      <c r="C458" s="7">
        <f t="shared" si="23"/>
        <v>8.4283952668696566E-2</v>
      </c>
    </row>
    <row r="459" spans="1:3" x14ac:dyDescent="0.25">
      <c r="A459" s="1">
        <v>42772</v>
      </c>
      <c r="B459" s="5">
        <v>2292.5600589999999</v>
      </c>
      <c r="C459" s="7">
        <f t="shared" si="23"/>
        <v>8.8713240065463009E-2</v>
      </c>
    </row>
    <row r="460" spans="1:3" x14ac:dyDescent="0.25">
      <c r="A460" s="1">
        <v>42773</v>
      </c>
      <c r="B460" s="5">
        <v>2293.080078</v>
      </c>
      <c r="C460" s="7">
        <f t="shared" si="23"/>
        <v>9.3373256178926639E-2</v>
      </c>
    </row>
    <row r="461" spans="1:3" x14ac:dyDescent="0.25">
      <c r="A461" s="1">
        <v>42774</v>
      </c>
      <c r="B461" s="5">
        <v>2294.669922</v>
      </c>
      <c r="C461" s="7">
        <f t="shared" si="23"/>
        <v>9.5733858483501855E-2</v>
      </c>
    </row>
    <row r="462" spans="1:3" x14ac:dyDescent="0.25">
      <c r="A462" s="1">
        <v>42775</v>
      </c>
      <c r="B462" s="5">
        <v>2307.8701169999999</v>
      </c>
      <c r="C462" s="7">
        <f t="shared" si="23"/>
        <v>7.9489722306712793E-2</v>
      </c>
    </row>
    <row r="463" spans="1:3" x14ac:dyDescent="0.25">
      <c r="A463" s="1">
        <v>42776</v>
      </c>
      <c r="B463" s="5">
        <v>2316.1000979999999</v>
      </c>
      <c r="C463" s="7">
        <f t="shared" si="23"/>
        <v>7.9284550991263913E-2</v>
      </c>
    </row>
    <row r="464" spans="1:3" x14ac:dyDescent="0.25">
      <c r="A464" s="1">
        <v>42779</v>
      </c>
      <c r="B464" s="5">
        <v>2328.25</v>
      </c>
      <c r="C464" s="7">
        <f t="shared" si="23"/>
        <v>7.3500564628733653E-2</v>
      </c>
    </row>
    <row r="465" spans="1:3" x14ac:dyDescent="0.25">
      <c r="A465" s="1">
        <v>42780</v>
      </c>
      <c r="B465" s="5">
        <v>2337.580078</v>
      </c>
      <c r="C465" s="7">
        <f t="shared" si="23"/>
        <v>7.5551046379445208E-2</v>
      </c>
    </row>
    <row r="466" spans="1:3" x14ac:dyDescent="0.25">
      <c r="A466" s="1">
        <v>42781</v>
      </c>
      <c r="B466" s="5">
        <v>2349.25</v>
      </c>
      <c r="C466" s="7">
        <f t="shared" si="23"/>
        <v>8.1929863309594606E-2</v>
      </c>
    </row>
    <row r="467" spans="1:3" x14ac:dyDescent="0.25">
      <c r="A467" s="1">
        <v>42782</v>
      </c>
      <c r="B467" s="5">
        <v>2347.219971</v>
      </c>
      <c r="C467" s="7">
        <f t="shared" si="23"/>
        <v>8.1180881291716231E-2</v>
      </c>
    </row>
    <row r="468" spans="1:3" x14ac:dyDescent="0.25">
      <c r="A468" s="1">
        <v>42783</v>
      </c>
      <c r="B468" s="5">
        <v>2351.1599120000001</v>
      </c>
      <c r="C468" s="7">
        <f t="shared" si="23"/>
        <v>7.5405075150961745E-2</v>
      </c>
    </row>
    <row r="469" spans="1:3" x14ac:dyDescent="0.25">
      <c r="A469" s="1">
        <v>42787</v>
      </c>
      <c r="B469" s="5">
        <v>2365.3798830000001</v>
      </c>
      <c r="C469" s="7">
        <f t="shared" si="23"/>
        <v>8.3018442199295953E-2</v>
      </c>
    </row>
    <row r="470" spans="1:3" x14ac:dyDescent="0.25">
      <c r="A470" s="1">
        <v>42788</v>
      </c>
      <c r="B470" s="5">
        <v>2362.820068</v>
      </c>
      <c r="C470" s="7">
        <f t="shared" si="23"/>
        <v>7.7270186359043896E-2</v>
      </c>
    </row>
    <row r="471" spans="1:3" x14ac:dyDescent="0.25">
      <c r="A471" s="1">
        <v>42789</v>
      </c>
      <c r="B471" s="5">
        <v>2363.8100589999999</v>
      </c>
      <c r="C471" s="7">
        <f t="shared" si="23"/>
        <v>8.0078737091626565E-2</v>
      </c>
    </row>
    <row r="472" spans="1:3" x14ac:dyDescent="0.25">
      <c r="A472" s="1">
        <v>42790</v>
      </c>
      <c r="B472" s="5">
        <v>2367.3400879999999</v>
      </c>
      <c r="C472" s="7">
        <f t="shared" si="23"/>
        <v>7.4137284806089915E-2</v>
      </c>
    </row>
    <row r="473" spans="1:3" x14ac:dyDescent="0.25">
      <c r="A473" s="1">
        <v>42793</v>
      </c>
      <c r="B473" s="5">
        <v>2369.75</v>
      </c>
      <c r="C473" s="7">
        <f t="shared" si="23"/>
        <v>7.2991659271929091E-2</v>
      </c>
    </row>
    <row r="474" spans="1:3" x14ac:dyDescent="0.25">
      <c r="A474" s="1">
        <v>42794</v>
      </c>
      <c r="B474" s="5">
        <v>2363.639893</v>
      </c>
      <c r="C474" s="7">
        <f t="shared" si="23"/>
        <v>6.9602254859243942E-2</v>
      </c>
    </row>
    <row r="475" spans="1:3" x14ac:dyDescent="0.25">
      <c r="A475" s="1">
        <v>42795</v>
      </c>
      <c r="B475" s="5">
        <v>2395.959961</v>
      </c>
      <c r="C475" s="7">
        <f t="shared" si="23"/>
        <v>7.9276720156492314E-2</v>
      </c>
    </row>
    <row r="476" spans="1:3" x14ac:dyDescent="0.25">
      <c r="A476" s="1">
        <v>42796</v>
      </c>
      <c r="B476" s="5">
        <v>2381.919922</v>
      </c>
      <c r="C476" s="7">
        <f t="shared" si="23"/>
        <v>7.8667992485985355E-2</v>
      </c>
    </row>
    <row r="477" spans="1:3" x14ac:dyDescent="0.25">
      <c r="A477" s="1">
        <v>42797</v>
      </c>
      <c r="B477" s="5">
        <v>2383.1201169999999</v>
      </c>
      <c r="C477" s="7">
        <f t="shared" si="23"/>
        <v>7.7837340554549661E-2</v>
      </c>
    </row>
    <row r="478" spans="1:3" x14ac:dyDescent="0.25">
      <c r="A478" s="1">
        <v>42800</v>
      </c>
      <c r="B478" s="5">
        <v>2375.3100589999999</v>
      </c>
      <c r="C478" s="7">
        <f t="shared" si="23"/>
        <v>7.721164836147909E-2</v>
      </c>
    </row>
    <row r="479" spans="1:3" x14ac:dyDescent="0.25">
      <c r="A479" s="1">
        <v>42801</v>
      </c>
      <c r="B479" s="5">
        <v>2368.389893</v>
      </c>
      <c r="C479" s="7">
        <f t="shared" si="23"/>
        <v>7.7815745675058862E-2</v>
      </c>
    </row>
    <row r="480" spans="1:3" x14ac:dyDescent="0.25">
      <c r="A480" s="1">
        <v>42802</v>
      </c>
      <c r="B480" s="5">
        <v>2362.9799800000001</v>
      </c>
      <c r="C480" s="7">
        <f t="shared" si="23"/>
        <v>7.5131989635772764E-2</v>
      </c>
    </row>
    <row r="481" spans="1:3" x14ac:dyDescent="0.25">
      <c r="A481" s="1">
        <v>42803</v>
      </c>
      <c r="B481" s="5">
        <v>2364.8701169999999</v>
      </c>
      <c r="C481" s="7">
        <f t="shared" si="23"/>
        <v>7.0127138334121888E-2</v>
      </c>
    </row>
    <row r="482" spans="1:3" x14ac:dyDescent="0.25">
      <c r="A482" s="1">
        <v>42804</v>
      </c>
      <c r="B482" s="5">
        <v>2372.6000979999999</v>
      </c>
      <c r="C482" s="7">
        <f t="shared" si="23"/>
        <v>6.9985394035513446E-2</v>
      </c>
    </row>
    <row r="483" spans="1:3" x14ac:dyDescent="0.25">
      <c r="A483" s="1">
        <v>42807</v>
      </c>
      <c r="B483" s="5">
        <v>2373.469971</v>
      </c>
      <c r="C483" s="7">
        <f t="shared" si="23"/>
        <v>5.7274600524899431E-2</v>
      </c>
    </row>
    <row r="484" spans="1:3" x14ac:dyDescent="0.25">
      <c r="A484" s="1">
        <v>42808</v>
      </c>
      <c r="B484" s="5">
        <v>2365.4499510000001</v>
      </c>
      <c r="C484" s="7">
        <f t="shared" si="23"/>
        <v>5.1732836663625478E-2</v>
      </c>
    </row>
    <row r="485" spans="1:3" x14ac:dyDescent="0.25">
      <c r="A485" s="1">
        <v>42809</v>
      </c>
      <c r="B485" s="5">
        <v>2385.26001</v>
      </c>
      <c r="C485" s="7">
        <f t="shared" si="23"/>
        <v>5.4151297376788539E-2</v>
      </c>
    </row>
    <row r="486" spans="1:3" x14ac:dyDescent="0.25">
      <c r="A486" s="1">
        <v>42810</v>
      </c>
      <c r="B486" s="5">
        <v>2381.3798830000001</v>
      </c>
      <c r="C486" s="7">
        <f t="shared" si="23"/>
        <v>5.366134468960037E-2</v>
      </c>
    </row>
    <row r="487" spans="1:3" x14ac:dyDescent="0.25">
      <c r="A487" s="1">
        <v>42811</v>
      </c>
      <c r="B487" s="5">
        <v>2378.25</v>
      </c>
      <c r="C487" s="7">
        <f t="shared" si="23"/>
        <v>4.5827682042405331E-2</v>
      </c>
    </row>
    <row r="488" spans="1:3" x14ac:dyDescent="0.25">
      <c r="A488" s="1">
        <v>42814</v>
      </c>
      <c r="B488" s="5">
        <v>2373.469971</v>
      </c>
      <c r="C488" s="7">
        <f t="shared" si="23"/>
        <v>5.1966061811399435E-2</v>
      </c>
    </row>
    <row r="489" spans="1:3" x14ac:dyDescent="0.25">
      <c r="A489" s="1">
        <v>42815</v>
      </c>
      <c r="B489" s="5">
        <v>2344.0200199999999</v>
      </c>
      <c r="C489" s="7">
        <f t="shared" si="23"/>
        <v>3.5604759608130386E-2</v>
      </c>
    </row>
    <row r="490" spans="1:3" x14ac:dyDescent="0.25">
      <c r="A490" s="1">
        <v>42816</v>
      </c>
      <c r="B490" s="5">
        <v>2348.4499510000001</v>
      </c>
      <c r="C490" s="7">
        <f t="shared" si="23"/>
        <v>3.9245018961318476E-2</v>
      </c>
    </row>
    <row r="491" spans="1:3" x14ac:dyDescent="0.25">
      <c r="A491" s="1">
        <v>42817</v>
      </c>
      <c r="B491" s="5">
        <v>2345.959961</v>
      </c>
      <c r="C491" s="7">
        <f t="shared" si="23"/>
        <v>3.6211014173167702E-2</v>
      </c>
    </row>
    <row r="492" spans="1:3" x14ac:dyDescent="0.25">
      <c r="A492" s="1">
        <v>42818</v>
      </c>
      <c r="B492" s="5">
        <v>2343.9799800000001</v>
      </c>
      <c r="C492" s="7">
        <f t="shared" si="23"/>
        <v>3.173574909702645E-2</v>
      </c>
    </row>
    <row r="493" spans="1:3" x14ac:dyDescent="0.25">
      <c r="A493" s="1">
        <v>42821</v>
      </c>
      <c r="B493" s="5">
        <v>2341.5900879999999</v>
      </c>
      <c r="C493" s="7">
        <f t="shared" si="23"/>
        <v>3.3176027427110941E-2</v>
      </c>
    </row>
    <row r="494" spans="1:3" x14ac:dyDescent="0.25">
      <c r="A494" s="1">
        <v>42822</v>
      </c>
      <c r="B494" s="5">
        <v>2358.570068</v>
      </c>
      <c r="C494" s="7">
        <f t="shared" si="23"/>
        <v>4.2266047411060617E-2</v>
      </c>
    </row>
    <row r="495" spans="1:3" x14ac:dyDescent="0.25">
      <c r="A495" s="1">
        <v>42823</v>
      </c>
      <c r="B495" s="5">
        <v>2361.1298830000001</v>
      </c>
      <c r="C495" s="7">
        <f t="shared" si="23"/>
        <v>4.2099851366844458E-2</v>
      </c>
    </row>
    <row r="496" spans="1:3" x14ac:dyDescent="0.25">
      <c r="A496" s="1">
        <v>42824</v>
      </c>
      <c r="B496" s="5">
        <v>2368.0600589999999</v>
      </c>
      <c r="C496" s="7">
        <f t="shared" si="23"/>
        <v>4.2784813355895034E-2</v>
      </c>
    </row>
    <row r="497" spans="1:3" x14ac:dyDescent="0.25">
      <c r="A497" s="1">
        <v>42825</v>
      </c>
      <c r="B497" s="5">
        <v>2362.719971</v>
      </c>
      <c r="C497" s="7">
        <f t="shared" si="23"/>
        <v>4.8918860108577732E-2</v>
      </c>
    </row>
    <row r="498" spans="1:3" x14ac:dyDescent="0.25">
      <c r="A498" s="1">
        <v>42828</v>
      </c>
      <c r="B498" s="5">
        <v>2358.8400879999999</v>
      </c>
      <c r="C498" s="7">
        <f t="shared" si="23"/>
        <v>4.7568732404507902E-2</v>
      </c>
    </row>
    <row r="499" spans="1:3" x14ac:dyDescent="0.25">
      <c r="A499" s="1">
        <v>42829</v>
      </c>
      <c r="B499" s="5">
        <v>2360.1599120000001</v>
      </c>
      <c r="C499" s="7">
        <f t="shared" si="23"/>
        <v>5.2775933243346736E-2</v>
      </c>
    </row>
    <row r="500" spans="1:3" x14ac:dyDescent="0.25">
      <c r="A500" s="1">
        <v>42830</v>
      </c>
      <c r="B500" s="5">
        <v>2352.9499510000001</v>
      </c>
      <c r="C500" s="7">
        <f t="shared" si="23"/>
        <v>4.1265629651493316E-2</v>
      </c>
    </row>
    <row r="501" spans="1:3" x14ac:dyDescent="0.25">
      <c r="A501" s="1">
        <v>42831</v>
      </c>
      <c r="B501" s="5">
        <v>2357.48999</v>
      </c>
      <c r="C501" s="7">
        <f t="shared" si="23"/>
        <v>3.7487316092945519E-2</v>
      </c>
    </row>
    <row r="502" spans="1:3" x14ac:dyDescent="0.25">
      <c r="A502" s="1">
        <v>42832</v>
      </c>
      <c r="B502" s="5">
        <v>2355.540039</v>
      </c>
      <c r="C502" s="7">
        <f t="shared" si="23"/>
        <v>3.7430811305365748E-2</v>
      </c>
    </row>
    <row r="503" spans="1:3" x14ac:dyDescent="0.25">
      <c r="A503" s="1">
        <v>42835</v>
      </c>
      <c r="B503" s="5">
        <v>2357.1599120000001</v>
      </c>
      <c r="C503" s="7">
        <f t="shared" si="23"/>
        <v>3.4607472446566666E-2</v>
      </c>
    </row>
    <row r="504" spans="1:3" x14ac:dyDescent="0.25">
      <c r="A504" s="1">
        <v>42836</v>
      </c>
      <c r="B504" s="5">
        <v>2353.780029</v>
      </c>
      <c r="C504" s="7">
        <f t="shared" si="23"/>
        <v>3.6727469492082609E-2</v>
      </c>
    </row>
    <row r="505" spans="1:3" x14ac:dyDescent="0.25">
      <c r="A505" s="1">
        <v>42837</v>
      </c>
      <c r="B505" s="5">
        <v>2344.929932</v>
      </c>
      <c r="C505" s="7">
        <f t="shared" si="23"/>
        <v>3.2960432352478766E-2</v>
      </c>
    </row>
    <row r="506" spans="1:3" x14ac:dyDescent="0.25">
      <c r="A506" s="1">
        <v>42838</v>
      </c>
      <c r="B506" s="5">
        <v>2328.9499510000001</v>
      </c>
      <c r="C506" s="7">
        <f t="shared" si="23"/>
        <v>2.3296769452956861E-2</v>
      </c>
    </row>
    <row r="507" spans="1:3" x14ac:dyDescent="0.25">
      <c r="A507" s="1">
        <v>42842</v>
      </c>
      <c r="B507" s="5">
        <v>2349.01001</v>
      </c>
      <c r="C507" s="7">
        <f t="shared" si="23"/>
        <v>3.4020347732354204E-2</v>
      </c>
    </row>
    <row r="508" spans="1:3" x14ac:dyDescent="0.25">
      <c r="A508" s="1">
        <v>42843</v>
      </c>
      <c r="B508" s="5">
        <v>2342.1899410000001</v>
      </c>
      <c r="C508" s="7">
        <f t="shared" si="23"/>
        <v>2.9264612853750364E-2</v>
      </c>
    </row>
    <row r="509" spans="1:3" x14ac:dyDescent="0.25">
      <c r="A509" s="1">
        <v>42844</v>
      </c>
      <c r="B509" s="5">
        <v>2338.169922</v>
      </c>
      <c r="C509" s="7">
        <f t="shared" si="23"/>
        <v>3.0518702139457586E-2</v>
      </c>
    </row>
    <row r="510" spans="1:3" x14ac:dyDescent="0.25">
      <c r="A510" s="1">
        <v>42845</v>
      </c>
      <c r="B510" s="5">
        <v>2355.8400879999999</v>
      </c>
      <c r="C510" s="7">
        <f t="shared" si="23"/>
        <v>3.6285352025916165E-2</v>
      </c>
    </row>
    <row r="511" spans="1:3" x14ac:dyDescent="0.25">
      <c r="A511" s="1">
        <v>42846</v>
      </c>
      <c r="B511" s="5">
        <v>2348.6899410000001</v>
      </c>
      <c r="C511" s="7">
        <f t="shared" si="23"/>
        <v>3.6861501688881172E-2</v>
      </c>
    </row>
    <row r="512" spans="1:3" x14ac:dyDescent="0.25">
      <c r="A512" s="1">
        <v>42849</v>
      </c>
      <c r="B512" s="5">
        <v>2374.1499020000001</v>
      </c>
      <c r="C512" s="7">
        <f t="shared" si="23"/>
        <v>4.4282653885548189E-2</v>
      </c>
    </row>
    <row r="513" spans="1:3" x14ac:dyDescent="0.25">
      <c r="A513" s="1">
        <v>42850</v>
      </c>
      <c r="B513" s="5">
        <v>2388.610107</v>
      </c>
      <c r="C513" s="7">
        <f t="shared" si="23"/>
        <v>5.3048617966275885E-2</v>
      </c>
    </row>
    <row r="514" spans="1:3" x14ac:dyDescent="0.25">
      <c r="A514" s="1">
        <v>42851</v>
      </c>
      <c r="B514" s="5">
        <v>2387.4499510000001</v>
      </c>
      <c r="C514" s="7">
        <f t="shared" si="23"/>
        <v>4.6019656147994317E-2</v>
      </c>
    </row>
    <row r="515" spans="1:3" x14ac:dyDescent="0.25">
      <c r="A515" s="1">
        <v>42852</v>
      </c>
      <c r="B515" s="5">
        <v>2388.7700199999999</v>
      </c>
      <c r="C515" s="7">
        <f t="shared" ref="C515:C578" si="24">LN(B515/B451)</f>
        <v>3.8578370544510202E-2</v>
      </c>
    </row>
    <row r="516" spans="1:3" x14ac:dyDescent="0.25">
      <c r="A516" s="1">
        <v>42853</v>
      </c>
      <c r="B516" s="5">
        <v>2384.1999510000001</v>
      </c>
      <c r="C516" s="7">
        <f t="shared" si="24"/>
        <v>3.7399045501908076E-2</v>
      </c>
    </row>
    <row r="517" spans="1:3" x14ac:dyDescent="0.25">
      <c r="A517" s="1">
        <v>42856</v>
      </c>
      <c r="B517" s="5">
        <v>2388.330078</v>
      </c>
      <c r="C517" s="7">
        <f t="shared" si="24"/>
        <v>3.9996677171809714E-2</v>
      </c>
    </row>
    <row r="518" spans="1:3" x14ac:dyDescent="0.25">
      <c r="A518" s="1">
        <v>42857</v>
      </c>
      <c r="B518" s="5">
        <v>2391.169922</v>
      </c>
      <c r="C518" s="7">
        <f t="shared" si="24"/>
        <v>4.7212694332000281E-2</v>
      </c>
    </row>
    <row r="519" spans="1:3" x14ac:dyDescent="0.25">
      <c r="A519" s="1">
        <v>42858</v>
      </c>
      <c r="B519" s="5">
        <v>2388.1298830000001</v>
      </c>
      <c r="C519" s="7">
        <f t="shared" si="24"/>
        <v>4.6830826502012667E-2</v>
      </c>
    </row>
    <row r="520" spans="1:3" x14ac:dyDescent="0.25">
      <c r="A520" s="1">
        <v>42859</v>
      </c>
      <c r="B520" s="5">
        <v>2389.5200199999999</v>
      </c>
      <c r="C520" s="7">
        <f t="shared" si="24"/>
        <v>4.711444076174548E-2</v>
      </c>
    </row>
    <row r="521" spans="1:3" x14ac:dyDescent="0.25">
      <c r="A521" s="1">
        <v>42860</v>
      </c>
      <c r="B521" s="5">
        <v>2399.290039</v>
      </c>
      <c r="C521" s="7">
        <f t="shared" si="24"/>
        <v>5.0624653033001676E-2</v>
      </c>
    </row>
    <row r="522" spans="1:3" x14ac:dyDescent="0.25">
      <c r="A522" s="1">
        <v>42863</v>
      </c>
      <c r="B522" s="5">
        <v>2399.3798830000001</v>
      </c>
      <c r="C522" s="7">
        <f t="shared" si="24"/>
        <v>4.3423601650853016E-2</v>
      </c>
    </row>
    <row r="523" spans="1:3" x14ac:dyDescent="0.25">
      <c r="A523" s="1">
        <v>42864</v>
      </c>
      <c r="B523" s="5">
        <v>2396.919922</v>
      </c>
      <c r="C523" s="7">
        <f t="shared" si="24"/>
        <v>4.4515424458979234E-2</v>
      </c>
    </row>
    <row r="524" spans="1:3" x14ac:dyDescent="0.25">
      <c r="A524" s="1">
        <v>42865</v>
      </c>
      <c r="B524" s="5">
        <v>2399.6298830000001</v>
      </c>
      <c r="C524" s="7">
        <f t="shared" si="24"/>
        <v>4.5418583970285302E-2</v>
      </c>
    </row>
    <row r="525" spans="1:3" x14ac:dyDescent="0.25">
      <c r="A525" s="1">
        <v>42866</v>
      </c>
      <c r="B525" s="5">
        <v>2394.4399410000001</v>
      </c>
      <c r="C525" s="7">
        <f t="shared" si="24"/>
        <v>4.2560350090782156E-2</v>
      </c>
    </row>
    <row r="526" spans="1:3" x14ac:dyDescent="0.25">
      <c r="A526" s="1">
        <v>42867</v>
      </c>
      <c r="B526" s="5">
        <v>2390.8999020000001</v>
      </c>
      <c r="C526" s="7">
        <f t="shared" si="24"/>
        <v>3.5344751175635139E-2</v>
      </c>
    </row>
    <row r="527" spans="1:3" x14ac:dyDescent="0.25">
      <c r="A527" s="1">
        <v>42870</v>
      </c>
      <c r="B527" s="5">
        <v>2402.320068</v>
      </c>
      <c r="C527" s="7">
        <f t="shared" si="24"/>
        <v>3.6550186421159203E-2</v>
      </c>
    </row>
    <row r="528" spans="1:3" x14ac:dyDescent="0.25">
      <c r="A528" s="1">
        <v>42871</v>
      </c>
      <c r="B528" s="5">
        <v>2400.669922</v>
      </c>
      <c r="C528" s="7">
        <f t="shared" si="24"/>
        <v>3.0630920150243109E-2</v>
      </c>
    </row>
    <row r="529" spans="1:3" x14ac:dyDescent="0.25">
      <c r="A529" s="1">
        <v>42872</v>
      </c>
      <c r="B529" s="5">
        <v>2357.030029</v>
      </c>
      <c r="C529" s="7">
        <f t="shared" si="24"/>
        <v>8.2861246589076825E-3</v>
      </c>
    </row>
    <row r="530" spans="1:3" x14ac:dyDescent="0.25">
      <c r="A530" s="1">
        <v>42873</v>
      </c>
      <c r="B530" s="5">
        <v>2365.719971</v>
      </c>
      <c r="C530" s="7">
        <f t="shared" si="24"/>
        <v>6.9862748183585326E-3</v>
      </c>
    </row>
    <row r="531" spans="1:3" x14ac:dyDescent="0.25">
      <c r="A531" s="1">
        <v>42874</v>
      </c>
      <c r="B531" s="5">
        <v>2381.7299800000001</v>
      </c>
      <c r="C531" s="7">
        <f t="shared" si="24"/>
        <v>1.4595469179328757E-2</v>
      </c>
    </row>
    <row r="532" spans="1:3" x14ac:dyDescent="0.25">
      <c r="A532" s="1">
        <v>42877</v>
      </c>
      <c r="B532" s="5">
        <v>2394.0200199999999</v>
      </c>
      <c r="C532" s="7">
        <f t="shared" si="24"/>
        <v>1.8065183713709947E-2</v>
      </c>
    </row>
    <row r="533" spans="1:3" x14ac:dyDescent="0.25">
      <c r="A533" s="1">
        <v>42878</v>
      </c>
      <c r="B533" s="5">
        <v>2398.419922</v>
      </c>
      <c r="C533" s="7">
        <f t="shared" si="24"/>
        <v>1.3871518596550527E-2</v>
      </c>
    </row>
    <row r="534" spans="1:3" x14ac:dyDescent="0.25">
      <c r="A534" s="1">
        <v>42879</v>
      </c>
      <c r="B534" s="5">
        <v>2404.389893</v>
      </c>
      <c r="C534" s="7">
        <f t="shared" si="24"/>
        <v>1.7440338902637791E-2</v>
      </c>
    </row>
    <row r="535" spans="1:3" x14ac:dyDescent="0.25">
      <c r="A535" s="1">
        <v>42880</v>
      </c>
      <c r="B535" s="5">
        <v>2415.070068</v>
      </c>
      <c r="C535" s="7">
        <f t="shared" si="24"/>
        <v>2.1453551325133161E-2</v>
      </c>
    </row>
    <row r="536" spans="1:3" x14ac:dyDescent="0.25">
      <c r="A536" s="1">
        <v>42881</v>
      </c>
      <c r="B536" s="5">
        <v>2415.820068</v>
      </c>
      <c r="C536" s="7">
        <f t="shared" si="24"/>
        <v>2.0271803004111005E-2</v>
      </c>
    </row>
    <row r="537" spans="1:3" x14ac:dyDescent="0.25">
      <c r="A537" s="1">
        <v>42885</v>
      </c>
      <c r="B537" s="5">
        <v>2412.9099120000001</v>
      </c>
      <c r="C537" s="7">
        <f t="shared" si="24"/>
        <v>1.8048987156474985E-2</v>
      </c>
    </row>
    <row r="538" spans="1:3" x14ac:dyDescent="0.25">
      <c r="A538" s="1">
        <v>42886</v>
      </c>
      <c r="B538" s="5">
        <v>2411.8000489999999</v>
      </c>
      <c r="C538" s="7">
        <f t="shared" si="24"/>
        <v>2.017061858982629E-2</v>
      </c>
    </row>
    <row r="539" spans="1:3" x14ac:dyDescent="0.25">
      <c r="A539" s="1">
        <v>42887</v>
      </c>
      <c r="B539" s="5">
        <v>2430.0600589999999</v>
      </c>
      <c r="C539" s="7">
        <f t="shared" si="24"/>
        <v>1.4132003339260771E-2</v>
      </c>
    </row>
    <row r="540" spans="1:3" x14ac:dyDescent="0.25">
      <c r="A540" s="1">
        <v>42888</v>
      </c>
      <c r="B540" s="5">
        <v>2439.070068</v>
      </c>
      <c r="C540" s="7">
        <f t="shared" si="24"/>
        <v>2.3709994588501277E-2</v>
      </c>
    </row>
    <row r="541" spans="1:3" x14ac:dyDescent="0.25">
      <c r="A541" s="1">
        <v>42891</v>
      </c>
      <c r="B541" s="5">
        <v>2436.1000979999999</v>
      </c>
      <c r="C541" s="7">
        <f t="shared" si="24"/>
        <v>2.1987837499142439E-2</v>
      </c>
    </row>
    <row r="542" spans="1:3" x14ac:dyDescent="0.25">
      <c r="A542" s="1">
        <v>42892</v>
      </c>
      <c r="B542" s="5">
        <v>2429.330078</v>
      </c>
      <c r="C542" s="7">
        <f t="shared" si="24"/>
        <v>2.2487551154234196E-2</v>
      </c>
    </row>
    <row r="543" spans="1:3" x14ac:dyDescent="0.25">
      <c r="A543" s="1">
        <v>42893</v>
      </c>
      <c r="B543" s="5">
        <v>2433.139893</v>
      </c>
      <c r="C543" s="7">
        <f t="shared" si="24"/>
        <v>2.6972206070416085E-2</v>
      </c>
    </row>
    <row r="544" spans="1:3" x14ac:dyDescent="0.25">
      <c r="A544" s="1">
        <v>42894</v>
      </c>
      <c r="B544" s="5">
        <v>2433.790039</v>
      </c>
      <c r="C544" s="7">
        <f t="shared" si="24"/>
        <v>2.9526203247577293E-2</v>
      </c>
    </row>
    <row r="545" spans="1:3" x14ac:dyDescent="0.25">
      <c r="A545" s="1">
        <v>42895</v>
      </c>
      <c r="B545" s="5">
        <v>2431.7700199999999</v>
      </c>
      <c r="C545" s="7">
        <f t="shared" si="24"/>
        <v>2.7896293867977769E-2</v>
      </c>
    </row>
    <row r="546" spans="1:3" x14ac:dyDescent="0.25">
      <c r="A546" s="1">
        <v>42898</v>
      </c>
      <c r="B546" s="5">
        <v>2429.389893</v>
      </c>
      <c r="C546" s="7">
        <f t="shared" si="24"/>
        <v>2.3653711439126302E-2</v>
      </c>
    </row>
    <row r="547" spans="1:3" x14ac:dyDescent="0.25">
      <c r="A547" s="1">
        <v>42899</v>
      </c>
      <c r="B547" s="5">
        <v>2440.3500979999999</v>
      </c>
      <c r="C547" s="7">
        <f t="shared" si="24"/>
        <v>2.7788504650195469E-2</v>
      </c>
    </row>
    <row r="548" spans="1:3" x14ac:dyDescent="0.25">
      <c r="A548" s="1">
        <v>42900</v>
      </c>
      <c r="B548" s="5">
        <v>2437.919922</v>
      </c>
      <c r="C548" s="7">
        <f t="shared" si="24"/>
        <v>3.0176926773922443E-2</v>
      </c>
    </row>
    <row r="549" spans="1:3" x14ac:dyDescent="0.25">
      <c r="A549" s="1">
        <v>42901</v>
      </c>
      <c r="B549" s="5">
        <v>2432.459961</v>
      </c>
      <c r="C549" s="7">
        <f t="shared" si="24"/>
        <v>1.9594937655896389E-2</v>
      </c>
    </row>
    <row r="550" spans="1:3" x14ac:dyDescent="0.25">
      <c r="A550" s="1">
        <v>42902</v>
      </c>
      <c r="B550" s="5">
        <v>2433.1499020000001</v>
      </c>
      <c r="C550" s="7">
        <f t="shared" si="24"/>
        <v>2.1506571457691599E-2</v>
      </c>
    </row>
    <row r="551" spans="1:3" x14ac:dyDescent="0.25">
      <c r="A551" s="1">
        <v>42905</v>
      </c>
      <c r="B551" s="5">
        <v>2453.459961</v>
      </c>
      <c r="C551" s="7">
        <f t="shared" si="24"/>
        <v>3.1134334174304914E-2</v>
      </c>
    </row>
    <row r="552" spans="1:3" x14ac:dyDescent="0.25">
      <c r="A552" s="1">
        <v>42906</v>
      </c>
      <c r="B552" s="5">
        <v>2437.030029</v>
      </c>
      <c r="C552" s="7">
        <f t="shared" si="24"/>
        <v>2.6427089535380293E-2</v>
      </c>
    </row>
    <row r="553" spans="1:3" x14ac:dyDescent="0.25">
      <c r="A553" s="1">
        <v>42907</v>
      </c>
      <c r="B553" s="5">
        <v>2435.610107</v>
      </c>
      <c r="C553" s="7">
        <f t="shared" si="24"/>
        <v>3.8329869805921686E-2</v>
      </c>
    </row>
    <row r="554" spans="1:3" x14ac:dyDescent="0.25">
      <c r="A554" s="1">
        <v>42908</v>
      </c>
      <c r="B554" s="5">
        <v>2434.5</v>
      </c>
      <c r="C554" s="7">
        <f t="shared" si="24"/>
        <v>3.5985881432395665E-2</v>
      </c>
    </row>
    <row r="555" spans="1:3" x14ac:dyDescent="0.25">
      <c r="A555" s="1">
        <v>42909</v>
      </c>
      <c r="B555" s="5">
        <v>2438.3000489999999</v>
      </c>
      <c r="C555" s="7">
        <f t="shared" si="24"/>
        <v>3.8606412103296246E-2</v>
      </c>
    </row>
    <row r="556" spans="1:3" x14ac:dyDescent="0.25">
      <c r="A556" s="1">
        <v>42912</v>
      </c>
      <c r="B556" s="5">
        <v>2439.070068</v>
      </c>
      <c r="C556" s="7">
        <f t="shared" si="24"/>
        <v>3.9766516265758348E-2</v>
      </c>
    </row>
    <row r="557" spans="1:3" x14ac:dyDescent="0.25">
      <c r="A557" s="1">
        <v>42913</v>
      </c>
      <c r="B557" s="5">
        <v>2419.3798830000001</v>
      </c>
      <c r="C557" s="7">
        <f t="shared" si="24"/>
        <v>3.2681037254081266E-2</v>
      </c>
    </row>
    <row r="558" spans="1:3" x14ac:dyDescent="0.25">
      <c r="A558" s="1">
        <v>42914</v>
      </c>
      <c r="B558" s="5">
        <v>2440.6899410000001</v>
      </c>
      <c r="C558" s="7">
        <f t="shared" si="24"/>
        <v>3.4225230026139947E-2</v>
      </c>
    </row>
    <row r="559" spans="1:3" x14ac:dyDescent="0.25">
      <c r="A559" s="1">
        <v>42915</v>
      </c>
      <c r="B559" s="5">
        <v>2419.6999510000001</v>
      </c>
      <c r="C559" s="7">
        <f t="shared" si="24"/>
        <v>2.4503276841804693E-2</v>
      </c>
    </row>
    <row r="560" spans="1:3" x14ac:dyDescent="0.25">
      <c r="A560" s="1">
        <v>42916</v>
      </c>
      <c r="B560" s="5">
        <v>2423.4099120000001</v>
      </c>
      <c r="C560" s="7">
        <f t="shared" si="24"/>
        <v>2.3104523474729452E-2</v>
      </c>
    </row>
    <row r="561" spans="1:3" x14ac:dyDescent="0.25">
      <c r="A561" s="1">
        <v>42919</v>
      </c>
      <c r="B561" s="5">
        <v>2429.01001</v>
      </c>
      <c r="C561" s="7">
        <f t="shared" si="24"/>
        <v>2.7670285579670682E-2</v>
      </c>
    </row>
    <row r="562" spans="1:3" x14ac:dyDescent="0.25">
      <c r="A562" s="1">
        <v>42921</v>
      </c>
      <c r="B562" s="5">
        <v>2432.540039</v>
      </c>
      <c r="C562" s="7">
        <f t="shared" si="24"/>
        <v>3.0765984881071008E-2</v>
      </c>
    </row>
    <row r="563" spans="1:3" x14ac:dyDescent="0.25">
      <c r="A563" s="1">
        <v>42922</v>
      </c>
      <c r="B563" s="5">
        <v>2409.75</v>
      </c>
      <c r="C563" s="7">
        <f t="shared" si="24"/>
        <v>2.0793631617947041E-2</v>
      </c>
    </row>
    <row r="564" spans="1:3" x14ac:dyDescent="0.25">
      <c r="A564" s="1">
        <v>42923</v>
      </c>
      <c r="B564" s="5">
        <v>2425.179932</v>
      </c>
      <c r="C564" s="7">
        <f t="shared" si="24"/>
        <v>3.0235881173974209E-2</v>
      </c>
    </row>
    <row r="565" spans="1:3" x14ac:dyDescent="0.25">
      <c r="A565" s="1">
        <v>42926</v>
      </c>
      <c r="B565" s="5">
        <v>2427.429932</v>
      </c>
      <c r="C565" s="7">
        <f t="shared" si="24"/>
        <v>2.9235567009984986E-2</v>
      </c>
    </row>
    <row r="566" spans="1:3" x14ac:dyDescent="0.25">
      <c r="A566" s="1">
        <v>42927</v>
      </c>
      <c r="B566" s="5">
        <v>2425.530029</v>
      </c>
      <c r="C566" s="7">
        <f t="shared" si="24"/>
        <v>2.9280052063520363E-2</v>
      </c>
    </row>
    <row r="567" spans="1:3" x14ac:dyDescent="0.25">
      <c r="A567" s="1">
        <v>42928</v>
      </c>
      <c r="B567" s="5">
        <v>2443.25</v>
      </c>
      <c r="C567" s="7">
        <f t="shared" si="24"/>
        <v>3.5871653017822309E-2</v>
      </c>
    </row>
    <row r="568" spans="1:3" x14ac:dyDescent="0.25">
      <c r="A568" s="1">
        <v>42929</v>
      </c>
      <c r="B568" s="5">
        <v>2447.830078</v>
      </c>
      <c r="C568" s="7">
        <f t="shared" si="24"/>
        <v>3.9179390811913843E-2</v>
      </c>
    </row>
    <row r="569" spans="1:3" x14ac:dyDescent="0.25">
      <c r="A569" s="1">
        <v>42930</v>
      </c>
      <c r="B569" s="5">
        <v>2459.2700199999999</v>
      </c>
      <c r="C569" s="7">
        <f t="shared" si="24"/>
        <v>4.7609044363198079E-2</v>
      </c>
    </row>
    <row r="570" spans="1:3" x14ac:dyDescent="0.25">
      <c r="A570" s="1">
        <v>42933</v>
      </c>
      <c r="B570" s="5">
        <v>2459.139893</v>
      </c>
      <c r="C570" s="7">
        <f t="shared" si="24"/>
        <v>5.4394150624299413E-2</v>
      </c>
    </row>
    <row r="571" spans="1:3" x14ac:dyDescent="0.25">
      <c r="A571" s="1">
        <v>42934</v>
      </c>
      <c r="B571" s="5">
        <v>2460.610107</v>
      </c>
      <c r="C571" s="7">
        <f t="shared" si="24"/>
        <v>4.6415363114722517E-2</v>
      </c>
    </row>
    <row r="572" spans="1:3" x14ac:dyDescent="0.25">
      <c r="A572" s="1">
        <v>42935</v>
      </c>
      <c r="B572" s="5">
        <v>2473.830078</v>
      </c>
      <c r="C572" s="7">
        <f t="shared" si="24"/>
        <v>5.4681224570756588E-2</v>
      </c>
    </row>
    <row r="573" spans="1:3" x14ac:dyDescent="0.25">
      <c r="A573" s="1">
        <v>42936</v>
      </c>
      <c r="B573" s="5">
        <v>2473.4499510000001</v>
      </c>
      <c r="C573" s="7">
        <f t="shared" si="24"/>
        <v>5.6245378633149691E-2</v>
      </c>
    </row>
    <row r="574" spans="1:3" x14ac:dyDescent="0.25">
      <c r="A574" s="1">
        <v>42937</v>
      </c>
      <c r="B574" s="5">
        <v>2472.540039</v>
      </c>
      <c r="C574" s="7">
        <f t="shared" si="24"/>
        <v>4.8348588992210742E-2</v>
      </c>
    </row>
    <row r="575" spans="1:3" x14ac:dyDescent="0.25">
      <c r="A575" s="1">
        <v>42940</v>
      </c>
      <c r="B575" s="5">
        <v>2469.9099120000001</v>
      </c>
      <c r="C575" s="7">
        <f t="shared" si="24"/>
        <v>5.0323976304308023E-2</v>
      </c>
    </row>
    <row r="576" spans="1:3" x14ac:dyDescent="0.25">
      <c r="A576" s="1">
        <v>42941</v>
      </c>
      <c r="B576" s="5">
        <v>2477.1298830000001</v>
      </c>
      <c r="C576" s="7">
        <f t="shared" si="24"/>
        <v>4.2461147327889609E-2</v>
      </c>
    </row>
    <row r="577" spans="1:3" x14ac:dyDescent="0.25">
      <c r="A577" s="1">
        <v>42942</v>
      </c>
      <c r="B577" s="5">
        <v>2477.830078</v>
      </c>
      <c r="C577" s="7">
        <f t="shared" si="24"/>
        <v>3.667155702794897E-2</v>
      </c>
    </row>
    <row r="578" spans="1:3" x14ac:dyDescent="0.25">
      <c r="A578" s="1">
        <v>42943</v>
      </c>
      <c r="B578" s="5">
        <v>2475.419922</v>
      </c>
      <c r="C578" s="7">
        <f t="shared" si="24"/>
        <v>3.6184216862557912E-2</v>
      </c>
    </row>
    <row r="579" spans="1:3" x14ac:dyDescent="0.25">
      <c r="A579" s="1">
        <v>42944</v>
      </c>
      <c r="B579" s="5">
        <v>2472.1000979999999</v>
      </c>
      <c r="C579" s="7">
        <f t="shared" ref="C579:C642" si="25">LN(B579/B515)</f>
        <v>3.4289434004476288E-2</v>
      </c>
    </row>
    <row r="580" spans="1:3" x14ac:dyDescent="0.25">
      <c r="A580" s="1">
        <v>42947</v>
      </c>
      <c r="B580" s="5">
        <v>2470.3000489999999</v>
      </c>
      <c r="C580" s="7">
        <f t="shared" si="25"/>
        <v>3.5476002840251042E-2</v>
      </c>
    </row>
    <row r="581" spans="1:3" x14ac:dyDescent="0.25">
      <c r="A581" s="1">
        <v>42948</v>
      </c>
      <c r="B581" s="5">
        <v>2476.3500979999999</v>
      </c>
      <c r="C581" s="7">
        <f t="shared" si="25"/>
        <v>3.6191331837780803E-2</v>
      </c>
    </row>
    <row r="582" spans="1:3" x14ac:dyDescent="0.25">
      <c r="A582" s="1">
        <v>42949</v>
      </c>
      <c r="B582" s="5">
        <v>2477.570068</v>
      </c>
      <c r="C582" s="7">
        <f t="shared" si="25"/>
        <v>3.5495515270838912E-2</v>
      </c>
    </row>
    <row r="583" spans="1:3" x14ac:dyDescent="0.25">
      <c r="A583" s="1">
        <v>42950</v>
      </c>
      <c r="B583" s="5">
        <v>2472.1599120000001</v>
      </c>
      <c r="C583" s="7">
        <f t="shared" si="25"/>
        <v>3.4581642906291642E-2</v>
      </c>
    </row>
    <row r="584" spans="1:3" x14ac:dyDescent="0.25">
      <c r="A584" s="1">
        <v>42951</v>
      </c>
      <c r="B584" s="5">
        <v>2476.830078</v>
      </c>
      <c r="C584" s="7">
        <f t="shared" si="25"/>
        <v>3.5887030912080654E-2</v>
      </c>
    </row>
    <row r="585" spans="1:3" x14ac:dyDescent="0.25">
      <c r="A585" s="1">
        <v>42954</v>
      </c>
      <c r="B585" s="5">
        <v>2480.9099120000001</v>
      </c>
      <c r="C585" s="7">
        <f t="shared" si="25"/>
        <v>3.3452516377482179E-2</v>
      </c>
    </row>
    <row r="586" spans="1:3" x14ac:dyDescent="0.25">
      <c r="A586" s="1">
        <v>42955</v>
      </c>
      <c r="B586" s="5">
        <v>2474.919922</v>
      </c>
      <c r="C586" s="7">
        <f t="shared" si="25"/>
        <v>3.0997718865587817E-2</v>
      </c>
    </row>
    <row r="587" spans="1:3" x14ac:dyDescent="0.25">
      <c r="A587" s="1">
        <v>42956</v>
      </c>
      <c r="B587" s="5">
        <v>2474.0200199999999</v>
      </c>
      <c r="C587" s="7">
        <f t="shared" si="25"/>
        <v>3.1659818794625656E-2</v>
      </c>
    </row>
    <row r="588" spans="1:3" x14ac:dyDescent="0.25">
      <c r="A588" s="1">
        <v>42957</v>
      </c>
      <c r="B588" s="5">
        <v>2438.209961</v>
      </c>
      <c r="C588" s="7">
        <f t="shared" si="25"/>
        <v>1.5949637486612434E-2</v>
      </c>
    </row>
    <row r="589" spans="1:3" x14ac:dyDescent="0.25">
      <c r="A589" s="1">
        <v>42958</v>
      </c>
      <c r="B589" s="5">
        <v>2441.320068</v>
      </c>
      <c r="C589" s="7">
        <f t="shared" si="25"/>
        <v>1.9389546063668436E-2</v>
      </c>
    </row>
    <row r="590" spans="1:3" x14ac:dyDescent="0.25">
      <c r="A590" s="1">
        <v>42961</v>
      </c>
      <c r="B590" s="5">
        <v>2465.8400879999999</v>
      </c>
      <c r="C590" s="7">
        <f t="shared" si="25"/>
        <v>3.0862732816183822E-2</v>
      </c>
    </row>
    <row r="591" spans="1:3" x14ac:dyDescent="0.25">
      <c r="A591" s="1">
        <v>42962</v>
      </c>
      <c r="B591" s="5">
        <v>2464.610107</v>
      </c>
      <c r="C591" s="7">
        <f t="shared" si="25"/>
        <v>2.5598657976576723E-2</v>
      </c>
    </row>
    <row r="592" spans="1:3" x14ac:dyDescent="0.25">
      <c r="A592" s="1">
        <v>42963</v>
      </c>
      <c r="B592" s="5">
        <v>2468.110107</v>
      </c>
      <c r="C592" s="7">
        <f t="shared" si="25"/>
        <v>2.7704886335473862E-2</v>
      </c>
    </row>
    <row r="593" spans="1:3" x14ac:dyDescent="0.25">
      <c r="A593" s="1">
        <v>42964</v>
      </c>
      <c r="B593" s="5">
        <v>2430.01001</v>
      </c>
      <c r="C593" s="7">
        <f t="shared" si="25"/>
        <v>3.0493012464799938E-2</v>
      </c>
    </row>
    <row r="594" spans="1:3" x14ac:dyDescent="0.25">
      <c r="A594" s="1">
        <v>42965</v>
      </c>
      <c r="B594" s="5">
        <v>2425.5500489999999</v>
      </c>
      <c r="C594" s="7">
        <f t="shared" si="25"/>
        <v>2.4975919899198656E-2</v>
      </c>
    </row>
    <row r="595" spans="1:3" x14ac:dyDescent="0.25">
      <c r="A595" s="1">
        <v>42968</v>
      </c>
      <c r="B595" s="5">
        <v>2428.3701169999999</v>
      </c>
      <c r="C595" s="7">
        <f t="shared" si="25"/>
        <v>1.9393192579792752E-2</v>
      </c>
    </row>
    <row r="596" spans="1:3" x14ac:dyDescent="0.25">
      <c r="A596" s="1">
        <v>42969</v>
      </c>
      <c r="B596" s="5">
        <v>2452.51001</v>
      </c>
      <c r="C596" s="7">
        <f t="shared" si="25"/>
        <v>2.4138024324576245E-2</v>
      </c>
    </row>
    <row r="597" spans="1:3" x14ac:dyDescent="0.25">
      <c r="A597" s="1">
        <v>42970</v>
      </c>
      <c r="B597" s="5">
        <v>2444.040039</v>
      </c>
      <c r="C597" s="7">
        <f t="shared" si="25"/>
        <v>1.884226904210163E-2</v>
      </c>
    </row>
    <row r="598" spans="1:3" x14ac:dyDescent="0.25">
      <c r="A598" s="1">
        <v>42971</v>
      </c>
      <c r="B598" s="5">
        <v>2438.969971</v>
      </c>
      <c r="C598" s="7">
        <f t="shared" si="25"/>
        <v>1.427961851433816E-2</v>
      </c>
    </row>
    <row r="599" spans="1:3" x14ac:dyDescent="0.25">
      <c r="A599" s="1">
        <v>42972</v>
      </c>
      <c r="B599" s="5">
        <v>2443.0500489999999</v>
      </c>
      <c r="C599" s="7">
        <f t="shared" si="25"/>
        <v>1.1518978414194195E-2</v>
      </c>
    </row>
    <row r="600" spans="1:3" x14ac:dyDescent="0.25">
      <c r="A600" s="1">
        <v>42975</v>
      </c>
      <c r="B600" s="5">
        <v>2444.23999</v>
      </c>
      <c r="C600" s="7">
        <f t="shared" si="25"/>
        <v>1.1695429935900406E-2</v>
      </c>
    </row>
    <row r="601" spans="1:3" x14ac:dyDescent="0.25">
      <c r="A601" s="1">
        <v>42976</v>
      </c>
      <c r="B601" s="5">
        <v>2446.3000489999999</v>
      </c>
      <c r="C601" s="7">
        <f t="shared" si="25"/>
        <v>1.3743247490161726E-2</v>
      </c>
    </row>
    <row r="602" spans="1:3" x14ac:dyDescent="0.25">
      <c r="A602" s="1">
        <v>42977</v>
      </c>
      <c r="B602" s="5">
        <v>2457.5900879999999</v>
      </c>
      <c r="C602" s="7">
        <f t="shared" si="25"/>
        <v>1.8807853755826727E-2</v>
      </c>
    </row>
    <row r="603" spans="1:3" x14ac:dyDescent="0.25">
      <c r="A603" s="1">
        <v>42978</v>
      </c>
      <c r="B603" s="5">
        <v>2471.6499020000001</v>
      </c>
      <c r="C603" s="7">
        <f t="shared" si="25"/>
        <v>1.6969931476198307E-2</v>
      </c>
    </row>
    <row r="604" spans="1:3" x14ac:dyDescent="0.25">
      <c r="A604" s="1">
        <v>42979</v>
      </c>
      <c r="B604" s="5">
        <v>2476.5500489999999</v>
      </c>
      <c r="C604" s="7">
        <f t="shared" si="25"/>
        <v>1.5249635423483229E-2</v>
      </c>
    </row>
    <row r="605" spans="1:3" x14ac:dyDescent="0.25">
      <c r="A605" s="1">
        <v>42983</v>
      </c>
      <c r="B605" s="5">
        <v>2457.8500979999999</v>
      </c>
      <c r="C605" s="7">
        <f t="shared" si="25"/>
        <v>8.8885837937764008E-3</v>
      </c>
    </row>
    <row r="606" spans="1:3" x14ac:dyDescent="0.25">
      <c r="A606" s="1">
        <v>42984</v>
      </c>
      <c r="B606" s="5">
        <v>2465.540039</v>
      </c>
      <c r="C606" s="7">
        <f t="shared" si="25"/>
        <v>1.4795334980478293E-2</v>
      </c>
    </row>
    <row r="607" spans="1:3" x14ac:dyDescent="0.25">
      <c r="A607" s="1">
        <v>42985</v>
      </c>
      <c r="B607" s="5">
        <v>2465.1000979999999</v>
      </c>
      <c r="C607" s="7">
        <f t="shared" si="25"/>
        <v>1.3049854079231555E-2</v>
      </c>
    </row>
    <row r="608" spans="1:3" x14ac:dyDescent="0.25">
      <c r="A608" s="1">
        <v>42986</v>
      </c>
      <c r="B608" s="5">
        <v>2461.429932</v>
      </c>
      <c r="C608" s="7">
        <f t="shared" si="25"/>
        <v>1.1292725105732291E-2</v>
      </c>
    </row>
    <row r="609" spans="1:3" x14ac:dyDescent="0.25">
      <c r="A609" s="1">
        <v>42989</v>
      </c>
      <c r="B609" s="5">
        <v>2488.110107</v>
      </c>
      <c r="C609" s="7">
        <f t="shared" si="25"/>
        <v>2.2904033635066628E-2</v>
      </c>
    </row>
    <row r="610" spans="1:3" x14ac:dyDescent="0.25">
      <c r="A610" s="1">
        <v>42990</v>
      </c>
      <c r="B610" s="5">
        <v>2496.4799800000001</v>
      </c>
      <c r="C610" s="7">
        <f t="shared" si="25"/>
        <v>2.7241578710566292E-2</v>
      </c>
    </row>
    <row r="611" spans="1:3" x14ac:dyDescent="0.25">
      <c r="A611" s="1">
        <v>42991</v>
      </c>
      <c r="B611" s="5">
        <v>2498.3701169999999</v>
      </c>
      <c r="C611" s="7">
        <f t="shared" si="25"/>
        <v>2.3497054260927873E-2</v>
      </c>
    </row>
    <row r="612" spans="1:3" x14ac:dyDescent="0.25">
      <c r="A612" s="1">
        <v>42992</v>
      </c>
      <c r="B612" s="5">
        <v>2495.6201169999999</v>
      </c>
      <c r="C612" s="7">
        <f t="shared" si="25"/>
        <v>2.3392057464922487E-2</v>
      </c>
    </row>
    <row r="613" spans="1:3" x14ac:dyDescent="0.25">
      <c r="A613" s="1">
        <v>42993</v>
      </c>
      <c r="B613" s="5">
        <v>2500.2299800000001</v>
      </c>
      <c r="C613" s="7">
        <f t="shared" si="25"/>
        <v>2.7479644721150016E-2</v>
      </c>
    </row>
    <row r="614" spans="1:3" x14ac:dyDescent="0.25">
      <c r="A614" s="1">
        <v>42996</v>
      </c>
      <c r="B614" s="5">
        <v>2503.8701169999999</v>
      </c>
      <c r="C614" s="7">
        <f t="shared" si="25"/>
        <v>2.8650907779790284E-2</v>
      </c>
    </row>
    <row r="615" spans="1:3" x14ac:dyDescent="0.25">
      <c r="A615" s="1">
        <v>42997</v>
      </c>
      <c r="B615" s="5">
        <v>2506.6499020000001</v>
      </c>
      <c r="C615" s="7">
        <f t="shared" si="25"/>
        <v>2.1447903960624803E-2</v>
      </c>
    </row>
    <row r="616" spans="1:3" x14ac:dyDescent="0.25">
      <c r="A616" s="1">
        <v>42998</v>
      </c>
      <c r="B616" s="5">
        <v>2508.23999</v>
      </c>
      <c r="C616" s="7">
        <f t="shared" si="25"/>
        <v>2.8801211300851708E-2</v>
      </c>
    </row>
    <row r="617" spans="1:3" x14ac:dyDescent="0.25">
      <c r="A617" s="1">
        <v>42999</v>
      </c>
      <c r="B617" s="5">
        <v>2500.6000979999999</v>
      </c>
      <c r="C617" s="7">
        <f t="shared" si="25"/>
        <v>2.6333459829510172E-2</v>
      </c>
    </row>
    <row r="618" spans="1:3" x14ac:dyDescent="0.25">
      <c r="A618" s="1">
        <v>43000</v>
      </c>
      <c r="B618" s="5">
        <v>2502.219971</v>
      </c>
      <c r="C618" s="7">
        <f t="shared" si="25"/>
        <v>2.7436929605081747E-2</v>
      </c>
    </row>
    <row r="619" spans="1:3" x14ac:dyDescent="0.25">
      <c r="A619" s="1">
        <v>43003</v>
      </c>
      <c r="B619" s="5">
        <v>2496.6599120000001</v>
      </c>
      <c r="C619" s="7">
        <f t="shared" si="25"/>
        <v>2.3652708116876111E-2</v>
      </c>
    </row>
    <row r="620" spans="1:3" x14ac:dyDescent="0.25">
      <c r="A620" s="1">
        <v>43004</v>
      </c>
      <c r="B620" s="5">
        <v>2496.8400879999999</v>
      </c>
      <c r="C620" s="7">
        <f t="shared" si="25"/>
        <v>2.34091206084832E-2</v>
      </c>
    </row>
    <row r="621" spans="1:3" x14ac:dyDescent="0.25">
      <c r="A621" s="1">
        <v>43005</v>
      </c>
      <c r="B621" s="5">
        <v>2507.040039</v>
      </c>
      <c r="C621" s="7">
        <f t="shared" si="25"/>
        <v>3.5591529292568598E-2</v>
      </c>
    </row>
    <row r="622" spans="1:3" x14ac:dyDescent="0.25">
      <c r="A622" s="1">
        <v>43006</v>
      </c>
      <c r="B622" s="5">
        <v>2510.0600589999999</v>
      </c>
      <c r="C622" s="7">
        <f t="shared" si="25"/>
        <v>2.8025918705681864E-2</v>
      </c>
    </row>
    <row r="623" spans="1:3" x14ac:dyDescent="0.25">
      <c r="A623" s="1">
        <v>43007</v>
      </c>
      <c r="B623" s="5">
        <v>2519.360107</v>
      </c>
      <c r="C623" s="7">
        <f t="shared" si="25"/>
        <v>4.0361398193602835E-2</v>
      </c>
    </row>
    <row r="624" spans="1:3" x14ac:dyDescent="0.25">
      <c r="A624" s="1">
        <v>43010</v>
      </c>
      <c r="B624" s="5">
        <v>2529.1201169999999</v>
      </c>
      <c r="C624" s="7">
        <f t="shared" si="25"/>
        <v>4.2695859479859495E-2</v>
      </c>
    </row>
    <row r="625" spans="1:3" x14ac:dyDescent="0.25">
      <c r="A625" s="1">
        <v>43011</v>
      </c>
      <c r="B625" s="5">
        <v>2534.580078</v>
      </c>
      <c r="C625" s="7">
        <f t="shared" si="25"/>
        <v>4.2544202568568973E-2</v>
      </c>
    </row>
    <row r="626" spans="1:3" x14ac:dyDescent="0.25">
      <c r="A626" s="1">
        <v>43012</v>
      </c>
      <c r="B626" s="5">
        <v>2537.73999</v>
      </c>
      <c r="C626" s="7">
        <f t="shared" si="25"/>
        <v>4.233792227253922E-2</v>
      </c>
    </row>
    <row r="627" spans="1:3" x14ac:dyDescent="0.25">
      <c r="A627" s="1">
        <v>43013</v>
      </c>
      <c r="B627" s="5">
        <v>2552.070068</v>
      </c>
      <c r="C627" s="7">
        <f t="shared" si="25"/>
        <v>5.7381813536543536E-2</v>
      </c>
    </row>
    <row r="628" spans="1:3" x14ac:dyDescent="0.25">
      <c r="A628" s="1">
        <v>43014</v>
      </c>
      <c r="B628" s="5">
        <v>2549.330078</v>
      </c>
      <c r="C628" s="7">
        <f t="shared" si="25"/>
        <v>4.9924889745287748E-2</v>
      </c>
    </row>
    <row r="629" spans="1:3" x14ac:dyDescent="0.25">
      <c r="A629" s="1">
        <v>43017</v>
      </c>
      <c r="B629" s="5">
        <v>2544.7299800000001</v>
      </c>
      <c r="C629" s="7">
        <f t="shared" si="25"/>
        <v>4.7191489638727047E-2</v>
      </c>
    </row>
    <row r="630" spans="1:3" x14ac:dyDescent="0.25">
      <c r="A630" s="1">
        <v>43018</v>
      </c>
      <c r="B630" s="5">
        <v>2550.639893</v>
      </c>
      <c r="C630" s="7">
        <f t="shared" si="25"/>
        <v>5.0294196955334589E-2</v>
      </c>
    </row>
    <row r="631" spans="1:3" x14ac:dyDescent="0.25">
      <c r="A631" s="1">
        <v>43019</v>
      </c>
      <c r="B631" s="5">
        <v>2555.23999</v>
      </c>
      <c r="C631" s="7">
        <f t="shared" si="25"/>
        <v>4.481702855765797E-2</v>
      </c>
    </row>
    <row r="632" spans="1:3" x14ac:dyDescent="0.25">
      <c r="A632" s="1">
        <v>43020</v>
      </c>
      <c r="B632" s="5">
        <v>2550.929932</v>
      </c>
      <c r="C632" s="7">
        <f t="shared" si="25"/>
        <v>4.1256022247502334E-2</v>
      </c>
    </row>
    <row r="633" spans="1:3" x14ac:dyDescent="0.25">
      <c r="A633" s="1">
        <v>43021</v>
      </c>
      <c r="B633" s="5">
        <v>2553.169922</v>
      </c>
      <c r="C633" s="7">
        <f t="shared" si="25"/>
        <v>3.7471127748746946E-2</v>
      </c>
    </row>
    <row r="634" spans="1:3" x14ac:dyDescent="0.25">
      <c r="A634" s="1">
        <v>43024</v>
      </c>
      <c r="B634" s="5">
        <v>2557.639893</v>
      </c>
      <c r="C634" s="7">
        <f t="shared" si="25"/>
        <v>3.9273264652799303E-2</v>
      </c>
    </row>
    <row r="635" spans="1:3" x14ac:dyDescent="0.25">
      <c r="A635" s="1">
        <v>43025</v>
      </c>
      <c r="B635" s="5">
        <v>2559.360107</v>
      </c>
      <c r="C635" s="7">
        <f t="shared" si="25"/>
        <v>3.9347938873344555E-2</v>
      </c>
    </row>
    <row r="636" spans="1:3" x14ac:dyDescent="0.25">
      <c r="A636" s="1">
        <v>43026</v>
      </c>
      <c r="B636" s="5">
        <v>2561.26001</v>
      </c>
      <c r="C636" s="7">
        <f t="shared" si="25"/>
        <v>3.4731740304041865E-2</v>
      </c>
    </row>
    <row r="637" spans="1:3" x14ac:dyDescent="0.25">
      <c r="A637" s="1">
        <v>43027</v>
      </c>
      <c r="B637" s="5">
        <v>2562.1000979999999</v>
      </c>
      <c r="C637" s="7">
        <f t="shared" si="25"/>
        <v>3.5213355569277863E-2</v>
      </c>
    </row>
    <row r="638" spans="1:3" x14ac:dyDescent="0.25">
      <c r="A638" s="1">
        <v>43028</v>
      </c>
      <c r="B638" s="5">
        <v>2575.209961</v>
      </c>
      <c r="C638" s="7">
        <f t="shared" si="25"/>
        <v>4.0685090929409425E-2</v>
      </c>
    </row>
    <row r="639" spans="1:3" x14ac:dyDescent="0.25">
      <c r="A639" s="1">
        <v>43031</v>
      </c>
      <c r="B639" s="5">
        <v>2564.9799800000001</v>
      </c>
      <c r="C639" s="7">
        <f t="shared" si="25"/>
        <v>3.7768996423806545E-2</v>
      </c>
    </row>
    <row r="640" spans="1:3" x14ac:dyDescent="0.25">
      <c r="A640" s="1">
        <v>43032</v>
      </c>
      <c r="B640" s="5">
        <v>2569.1298830000001</v>
      </c>
      <c r="C640" s="7">
        <f t="shared" si="25"/>
        <v>3.6466689914223208E-2</v>
      </c>
    </row>
    <row r="641" spans="1:3" x14ac:dyDescent="0.25">
      <c r="A641" s="1">
        <v>43033</v>
      </c>
      <c r="B641" s="5">
        <v>2557.1499020000001</v>
      </c>
      <c r="C641" s="7">
        <f t="shared" si="25"/>
        <v>3.1510110139574589E-2</v>
      </c>
    </row>
    <row r="642" spans="1:3" x14ac:dyDescent="0.25">
      <c r="A642" s="1">
        <v>43034</v>
      </c>
      <c r="B642" s="5">
        <v>2560.3999020000001</v>
      </c>
      <c r="C642" s="7">
        <f t="shared" si="25"/>
        <v>3.3753410926797421E-2</v>
      </c>
    </row>
    <row r="643" spans="1:3" x14ac:dyDescent="0.25">
      <c r="A643" s="1">
        <v>43035</v>
      </c>
      <c r="B643" s="5">
        <v>2581.070068</v>
      </c>
      <c r="C643" s="7">
        <f t="shared" ref="C643:C706" si="26">LN(B643/B579)</f>
        <v>4.3136036491106686E-2</v>
      </c>
    </row>
    <row r="644" spans="1:3" x14ac:dyDescent="0.25">
      <c r="A644" s="1">
        <v>43038</v>
      </c>
      <c r="B644" s="5">
        <v>2572.830078</v>
      </c>
      <c r="C644" s="7">
        <f t="shared" si="26"/>
        <v>4.0666870109051151E-2</v>
      </c>
    </row>
    <row r="645" spans="1:3" x14ac:dyDescent="0.25">
      <c r="A645" s="1">
        <v>43039</v>
      </c>
      <c r="B645" s="5">
        <v>2575.26001</v>
      </c>
      <c r="C645" s="7">
        <f t="shared" si="26"/>
        <v>3.9164762341150405E-2</v>
      </c>
    </row>
    <row r="646" spans="1:3" x14ac:dyDescent="0.25">
      <c r="A646" s="1">
        <v>43040</v>
      </c>
      <c r="B646" s="5">
        <v>2579.360107</v>
      </c>
      <c r="C646" s="7">
        <f t="shared" si="26"/>
        <v>4.0263079071003308E-2</v>
      </c>
    </row>
    <row r="647" spans="1:3" x14ac:dyDescent="0.25">
      <c r="A647" s="1">
        <v>43041</v>
      </c>
      <c r="B647" s="5">
        <v>2579.8500979999999</v>
      </c>
      <c r="C647" s="7">
        <f t="shared" si="26"/>
        <v>4.2639068871609065E-2</v>
      </c>
    </row>
    <row r="648" spans="1:3" x14ac:dyDescent="0.25">
      <c r="A648" s="1">
        <v>43042</v>
      </c>
      <c r="B648" s="5">
        <v>2587.8400879999999</v>
      </c>
      <c r="C648" s="7">
        <f t="shared" si="26"/>
        <v>4.3844036695629862E-2</v>
      </c>
    </row>
    <row r="649" spans="1:3" x14ac:dyDescent="0.25">
      <c r="A649" s="1">
        <v>43045</v>
      </c>
      <c r="B649" s="5">
        <v>2591.1298830000001</v>
      </c>
      <c r="C649" s="7">
        <f t="shared" si="26"/>
        <v>4.3468635959842135E-2</v>
      </c>
    </row>
    <row r="650" spans="1:3" x14ac:dyDescent="0.25">
      <c r="A650" s="1">
        <v>43046</v>
      </c>
      <c r="B650" s="5">
        <v>2590.639893</v>
      </c>
      <c r="C650" s="7">
        <f t="shared" si="26"/>
        <v>4.5696867381035719E-2</v>
      </c>
    </row>
    <row r="651" spans="1:3" x14ac:dyDescent="0.25">
      <c r="A651" s="1">
        <v>43047</v>
      </c>
      <c r="B651" s="5">
        <v>2594.3798830000001</v>
      </c>
      <c r="C651" s="7">
        <f t="shared" si="26"/>
        <v>4.7503155876272025E-2</v>
      </c>
    </row>
    <row r="652" spans="1:3" x14ac:dyDescent="0.25">
      <c r="A652" s="1">
        <v>43048</v>
      </c>
      <c r="B652" s="5">
        <v>2584.6201169999999</v>
      </c>
      <c r="C652" s="7">
        <f t="shared" si="26"/>
        <v>5.8314392956662735E-2</v>
      </c>
    </row>
    <row r="653" spans="1:3" x14ac:dyDescent="0.25">
      <c r="A653" s="1">
        <v>43049</v>
      </c>
      <c r="B653" s="5">
        <v>2582.3000489999999</v>
      </c>
      <c r="C653" s="7">
        <f t="shared" si="26"/>
        <v>5.6141589164563896E-2</v>
      </c>
    </row>
    <row r="654" spans="1:3" x14ac:dyDescent="0.25">
      <c r="A654" s="1">
        <v>43052</v>
      </c>
      <c r="B654" s="5">
        <v>2584.8400879999999</v>
      </c>
      <c r="C654" s="7">
        <f t="shared" si="26"/>
        <v>4.7131088614001393E-2</v>
      </c>
    </row>
    <row r="655" spans="1:3" x14ac:dyDescent="0.25">
      <c r="A655" s="1">
        <v>43053</v>
      </c>
      <c r="B655" s="5">
        <v>2578.8701169999999</v>
      </c>
      <c r="C655" s="7">
        <f t="shared" si="26"/>
        <v>4.5317740481111916E-2</v>
      </c>
    </row>
    <row r="656" spans="1:3" x14ac:dyDescent="0.25">
      <c r="A656" s="1">
        <v>43054</v>
      </c>
      <c r="B656" s="5">
        <v>2564.6201169999999</v>
      </c>
      <c r="C656" s="7">
        <f t="shared" si="26"/>
        <v>3.835764621500929E-2</v>
      </c>
    </row>
    <row r="657" spans="1:3" x14ac:dyDescent="0.25">
      <c r="A657" s="1">
        <v>43055</v>
      </c>
      <c r="B657" s="5">
        <v>2585.639893</v>
      </c>
      <c r="C657" s="7">
        <f t="shared" si="26"/>
        <v>6.2077641454063415E-2</v>
      </c>
    </row>
    <row r="658" spans="1:3" x14ac:dyDescent="0.25">
      <c r="A658" s="1">
        <v>43056</v>
      </c>
      <c r="B658" s="5">
        <v>2578.8500979999999</v>
      </c>
      <c r="C658" s="7">
        <f t="shared" si="26"/>
        <v>6.1285278132243132E-2</v>
      </c>
    </row>
    <row r="659" spans="1:3" x14ac:dyDescent="0.25">
      <c r="A659" s="1">
        <v>43059</v>
      </c>
      <c r="B659" s="5">
        <v>2582.139893</v>
      </c>
      <c r="C659" s="7">
        <f t="shared" si="26"/>
        <v>6.1398172484625639E-2</v>
      </c>
    </row>
    <row r="660" spans="1:3" x14ac:dyDescent="0.25">
      <c r="A660" s="1">
        <v>43060</v>
      </c>
      <c r="B660" s="5">
        <v>2599.030029</v>
      </c>
      <c r="C660" s="7">
        <f t="shared" si="26"/>
        <v>5.8026315653368146E-2</v>
      </c>
    </row>
    <row r="661" spans="1:3" x14ac:dyDescent="0.25">
      <c r="A661" s="1">
        <v>43061</v>
      </c>
      <c r="B661" s="5">
        <v>2597.080078</v>
      </c>
      <c r="C661" s="7">
        <f t="shared" si="26"/>
        <v>6.0735343269909772E-2</v>
      </c>
    </row>
    <row r="662" spans="1:3" x14ac:dyDescent="0.25">
      <c r="A662" s="1">
        <v>43063</v>
      </c>
      <c r="B662" s="5">
        <v>2602.419922</v>
      </c>
      <c r="C662" s="7">
        <f t="shared" si="26"/>
        <v>6.4865944244149543E-2</v>
      </c>
    </row>
    <row r="663" spans="1:3" x14ac:dyDescent="0.25">
      <c r="A663" s="1">
        <v>43066</v>
      </c>
      <c r="B663" s="5">
        <v>2601.419922</v>
      </c>
      <c r="C663" s="7">
        <f t="shared" si="26"/>
        <v>6.2810141039796E-2</v>
      </c>
    </row>
    <row r="664" spans="1:3" x14ac:dyDescent="0.25">
      <c r="A664" s="1">
        <v>43067</v>
      </c>
      <c r="B664" s="5">
        <v>2627.040039</v>
      </c>
      <c r="C664" s="7">
        <f t="shared" si="26"/>
        <v>7.2123519857693108E-2</v>
      </c>
    </row>
    <row r="665" spans="1:3" x14ac:dyDescent="0.25">
      <c r="A665" s="1">
        <v>43068</v>
      </c>
      <c r="B665" s="5">
        <v>2626.070068</v>
      </c>
      <c r="C665" s="7">
        <f t="shared" si="26"/>
        <v>7.0911758933686925E-2</v>
      </c>
    </row>
    <row r="666" spans="1:3" x14ac:dyDescent="0.25">
      <c r="A666" s="1">
        <v>43069</v>
      </c>
      <c r="B666" s="5">
        <v>2647.580078</v>
      </c>
      <c r="C666" s="7">
        <f t="shared" si="26"/>
        <v>7.4464813923827228E-2</v>
      </c>
    </row>
    <row r="667" spans="1:3" x14ac:dyDescent="0.25">
      <c r="A667" s="1">
        <v>43070</v>
      </c>
      <c r="B667" s="5">
        <v>2642.219971</v>
      </c>
      <c r="C667" s="7">
        <f t="shared" si="26"/>
        <v>6.673355774646153E-2</v>
      </c>
    </row>
    <row r="668" spans="1:3" x14ac:dyDescent="0.25">
      <c r="A668" s="1">
        <v>43073</v>
      </c>
      <c r="B668" s="5">
        <v>2639.4399410000001</v>
      </c>
      <c r="C668" s="7">
        <f t="shared" si="26"/>
        <v>6.3700268680088268E-2</v>
      </c>
    </row>
    <row r="669" spans="1:3" x14ac:dyDescent="0.25">
      <c r="A669" s="1">
        <v>43074</v>
      </c>
      <c r="B669" s="5">
        <v>2629.570068</v>
      </c>
      <c r="C669" s="7">
        <f t="shared" si="26"/>
        <v>6.7533336653069209E-2</v>
      </c>
    </row>
    <row r="670" spans="1:3" x14ac:dyDescent="0.25">
      <c r="A670" s="1">
        <v>43075</v>
      </c>
      <c r="B670" s="5">
        <v>2629.2700199999999</v>
      </c>
      <c r="C670" s="7">
        <f t="shared" si="26"/>
        <v>6.4295382469550424E-2</v>
      </c>
    </row>
    <row r="671" spans="1:3" x14ac:dyDescent="0.25">
      <c r="A671" s="1">
        <v>43076</v>
      </c>
      <c r="B671" s="5">
        <v>2636.9799800000001</v>
      </c>
      <c r="C671" s="7">
        <f t="shared" si="26"/>
        <v>6.7401901003675754E-2</v>
      </c>
    </row>
    <row r="672" spans="1:3" x14ac:dyDescent="0.25">
      <c r="A672" s="1">
        <v>43077</v>
      </c>
      <c r="B672" s="5">
        <v>2651.5</v>
      </c>
      <c r="C672" s="7">
        <f t="shared" si="26"/>
        <v>7.4383063353855944E-2</v>
      </c>
    </row>
    <row r="673" spans="1:3" x14ac:dyDescent="0.25">
      <c r="A673" s="1">
        <v>43080</v>
      </c>
      <c r="B673" s="5">
        <v>2659.98999</v>
      </c>
      <c r="C673" s="7">
        <f t="shared" si="26"/>
        <v>6.6798930505852533E-2</v>
      </c>
    </row>
    <row r="674" spans="1:3" x14ac:dyDescent="0.25">
      <c r="A674" s="1">
        <v>43081</v>
      </c>
      <c r="B674" s="5">
        <v>2664.110107</v>
      </c>
      <c r="C674" s="7">
        <f t="shared" si="26"/>
        <v>6.4988351581022855E-2</v>
      </c>
    </row>
    <row r="675" spans="1:3" x14ac:dyDescent="0.25">
      <c r="A675" s="1">
        <v>43082</v>
      </c>
      <c r="B675" s="5">
        <v>2662.8500979999999</v>
      </c>
      <c r="C675" s="7">
        <f t="shared" si="26"/>
        <v>6.3758448537520759E-2</v>
      </c>
    </row>
    <row r="676" spans="1:3" x14ac:dyDescent="0.25">
      <c r="A676" s="1">
        <v>43083</v>
      </c>
      <c r="B676" s="5">
        <v>2652.01001</v>
      </c>
      <c r="C676" s="7">
        <f t="shared" si="26"/>
        <v>6.0780604616954198E-2</v>
      </c>
    </row>
    <row r="677" spans="1:3" x14ac:dyDescent="0.25">
      <c r="A677" s="1">
        <v>43084</v>
      </c>
      <c r="B677" s="5">
        <v>2675.8100589999999</v>
      </c>
      <c r="C677" s="7">
        <f t="shared" si="26"/>
        <v>6.7869440656735516E-2</v>
      </c>
    </row>
    <row r="678" spans="1:3" x14ac:dyDescent="0.25">
      <c r="A678" s="1">
        <v>43087</v>
      </c>
      <c r="B678" s="5">
        <v>2690.1599120000001</v>
      </c>
      <c r="C678" s="7">
        <f t="shared" si="26"/>
        <v>7.1763057002124514E-2</v>
      </c>
    </row>
    <row r="679" spans="1:3" x14ac:dyDescent="0.25">
      <c r="A679" s="1">
        <v>43088</v>
      </c>
      <c r="B679" s="5">
        <v>2681.469971</v>
      </c>
      <c r="C679" s="7">
        <f t="shared" si="26"/>
        <v>6.7417979555896651E-2</v>
      </c>
    </row>
    <row r="680" spans="1:3" x14ac:dyDescent="0.25">
      <c r="A680" s="1">
        <v>43089</v>
      </c>
      <c r="B680" s="5">
        <v>2679.25</v>
      </c>
      <c r="C680" s="7">
        <f t="shared" si="26"/>
        <v>6.5955596625607862E-2</v>
      </c>
    </row>
    <row r="681" spans="1:3" x14ac:dyDescent="0.25">
      <c r="A681" s="1">
        <v>43090</v>
      </c>
      <c r="B681" s="5">
        <v>2684.570068</v>
      </c>
      <c r="C681" s="7">
        <f t="shared" si="26"/>
        <v>7.0989849220405077E-2</v>
      </c>
    </row>
    <row r="682" spans="1:3" x14ac:dyDescent="0.25">
      <c r="A682" s="1">
        <v>43091</v>
      </c>
      <c r="B682" s="5">
        <v>2683.3400879999999</v>
      </c>
      <c r="C682" s="7">
        <f t="shared" si="26"/>
        <v>6.9883993780574374E-2</v>
      </c>
    </row>
    <row r="683" spans="1:3" x14ac:dyDescent="0.25">
      <c r="A683" s="1">
        <v>43095</v>
      </c>
      <c r="B683" s="5">
        <v>2680.5</v>
      </c>
      <c r="C683" s="7">
        <f t="shared" si="26"/>
        <v>7.1049540902062003E-2</v>
      </c>
    </row>
    <row r="684" spans="1:3" x14ac:dyDescent="0.25">
      <c r="A684" s="1">
        <v>43096</v>
      </c>
      <c r="B684" s="5">
        <v>2682.6201169999999</v>
      </c>
      <c r="C684" s="7">
        <f t="shared" si="26"/>
        <v>7.1768004928901119E-2</v>
      </c>
    </row>
    <row r="685" spans="1:3" x14ac:dyDescent="0.25">
      <c r="A685" s="1">
        <v>43097</v>
      </c>
      <c r="B685" s="5">
        <v>2687.540039</v>
      </c>
      <c r="C685" s="7">
        <f t="shared" si="26"/>
        <v>6.9523501645206903E-2</v>
      </c>
    </row>
    <row r="686" spans="1:3" x14ac:dyDescent="0.25">
      <c r="A686" s="1">
        <v>43098</v>
      </c>
      <c r="B686" s="5">
        <v>2673.610107</v>
      </c>
      <c r="C686" s="7">
        <f t="shared" si="26"/>
        <v>6.3122978402205418E-2</v>
      </c>
    </row>
    <row r="687" spans="1:3" x14ac:dyDescent="0.25">
      <c r="A687" s="1">
        <v>43102</v>
      </c>
      <c r="B687" s="5">
        <v>2695.8100589999999</v>
      </c>
      <c r="C687" s="7">
        <f t="shared" si="26"/>
        <v>6.7693794189895587E-2</v>
      </c>
    </row>
    <row r="688" spans="1:3" x14ac:dyDescent="0.25">
      <c r="A688" s="1">
        <v>43103</v>
      </c>
      <c r="B688" s="5">
        <v>2713.0600589999999</v>
      </c>
      <c r="C688" s="7">
        <f t="shared" si="26"/>
        <v>7.0205708509844506E-2</v>
      </c>
    </row>
    <row r="689" spans="1:3" x14ac:dyDescent="0.25">
      <c r="A689" s="1">
        <v>43104</v>
      </c>
      <c r="B689" s="5">
        <v>2723.98999</v>
      </c>
      <c r="C689" s="7">
        <f t="shared" si="26"/>
        <v>7.2069739919912293E-2</v>
      </c>
    </row>
    <row r="690" spans="1:3" x14ac:dyDescent="0.25">
      <c r="A690" s="1">
        <v>43105</v>
      </c>
      <c r="B690" s="5">
        <v>2743.1499020000001</v>
      </c>
      <c r="C690" s="7">
        <f t="shared" si="26"/>
        <v>7.7832942151150775E-2</v>
      </c>
    </row>
    <row r="691" spans="1:3" x14ac:dyDescent="0.25">
      <c r="A691" s="1">
        <v>43108</v>
      </c>
      <c r="B691" s="5">
        <v>2747.709961</v>
      </c>
      <c r="C691" s="7">
        <f t="shared" si="26"/>
        <v>7.3863002083674634E-2</v>
      </c>
    </row>
    <row r="692" spans="1:3" x14ac:dyDescent="0.25">
      <c r="A692" s="1">
        <v>43109</v>
      </c>
      <c r="B692" s="5">
        <v>2751.290039</v>
      </c>
      <c r="C692" s="7">
        <f t="shared" si="26"/>
        <v>7.623929662896535E-2</v>
      </c>
    </row>
    <row r="693" spans="1:3" x14ac:dyDescent="0.25">
      <c r="A693" s="1">
        <v>43110</v>
      </c>
      <c r="B693" s="5">
        <v>2748.2299800000001</v>
      </c>
      <c r="C693" s="7">
        <f t="shared" si="26"/>
        <v>7.6932514672782448E-2</v>
      </c>
    </row>
    <row r="694" spans="1:3" x14ac:dyDescent="0.25">
      <c r="A694" s="1">
        <v>43111</v>
      </c>
      <c r="B694" s="5">
        <v>2767.5600589999999</v>
      </c>
      <c r="C694" s="7">
        <f t="shared" si="26"/>
        <v>8.1621820778936593E-2</v>
      </c>
    </row>
    <row r="695" spans="1:3" x14ac:dyDescent="0.25">
      <c r="A695" s="1">
        <v>43112</v>
      </c>
      <c r="B695" s="5">
        <v>2786.23999</v>
      </c>
      <c r="C695" s="7">
        <f t="shared" si="26"/>
        <v>8.6546864274581539E-2</v>
      </c>
    </row>
    <row r="696" spans="1:3" x14ac:dyDescent="0.25">
      <c r="A696" s="1">
        <v>43116</v>
      </c>
      <c r="B696" s="5">
        <v>2776.419922</v>
      </c>
      <c r="C696" s="7">
        <f t="shared" si="26"/>
        <v>8.4704328029867756E-2</v>
      </c>
    </row>
    <row r="697" spans="1:3" x14ac:dyDescent="0.25">
      <c r="A697" s="1">
        <v>43117</v>
      </c>
      <c r="B697" s="5">
        <v>2802.5600589999999</v>
      </c>
      <c r="C697" s="7">
        <f t="shared" si="26"/>
        <v>9.3197612423379553E-2</v>
      </c>
    </row>
    <row r="698" spans="1:3" x14ac:dyDescent="0.25">
      <c r="A698" s="1">
        <v>43118</v>
      </c>
      <c r="B698" s="5">
        <v>2798.030029</v>
      </c>
      <c r="C698" s="7">
        <f t="shared" si="26"/>
        <v>8.9830692026553832E-2</v>
      </c>
    </row>
    <row r="699" spans="1:3" x14ac:dyDescent="0.25">
      <c r="A699" s="1">
        <v>43119</v>
      </c>
      <c r="B699" s="5">
        <v>2810.3000489999999</v>
      </c>
      <c r="C699" s="7">
        <f t="shared" si="26"/>
        <v>9.3533987605153426E-2</v>
      </c>
    </row>
    <row r="700" spans="1:3" x14ac:dyDescent="0.25">
      <c r="A700" s="1">
        <v>43122</v>
      </c>
      <c r="B700" s="5">
        <v>2832.969971</v>
      </c>
      <c r="C700" s="7">
        <f t="shared" si="26"/>
        <v>0.10082629226332711</v>
      </c>
    </row>
    <row r="701" spans="1:3" x14ac:dyDescent="0.25">
      <c r="A701" s="1">
        <v>43123</v>
      </c>
      <c r="B701" s="5">
        <v>2839.1298830000001</v>
      </c>
      <c r="C701" s="7">
        <f t="shared" si="26"/>
        <v>0.10267035303512796</v>
      </c>
    </row>
    <row r="702" spans="1:3" x14ac:dyDescent="0.25">
      <c r="A702" s="1">
        <v>43124</v>
      </c>
      <c r="B702" s="5">
        <v>2837.540039</v>
      </c>
      <c r="C702" s="7">
        <f t="shared" si="26"/>
        <v>9.7006424324695431E-2</v>
      </c>
    </row>
    <row r="703" spans="1:3" x14ac:dyDescent="0.25">
      <c r="A703" s="1">
        <v>43125</v>
      </c>
      <c r="B703" s="5">
        <v>2839.25</v>
      </c>
      <c r="C703" s="7">
        <f t="shared" si="26"/>
        <v>0.10158925926557158</v>
      </c>
    </row>
    <row r="704" spans="1:3" x14ac:dyDescent="0.25">
      <c r="A704" s="1">
        <v>43126</v>
      </c>
      <c r="B704" s="5">
        <v>2872.8701169999999</v>
      </c>
      <c r="C704" s="7">
        <f t="shared" si="26"/>
        <v>0.11174429617610002</v>
      </c>
    </row>
    <row r="705" spans="1:3" x14ac:dyDescent="0.25">
      <c r="A705" s="1">
        <v>43129</v>
      </c>
      <c r="B705" s="5">
        <v>2853.530029</v>
      </c>
      <c r="C705" s="7">
        <f t="shared" si="26"/>
        <v>0.10966351574713391</v>
      </c>
    </row>
    <row r="706" spans="1:3" x14ac:dyDescent="0.25">
      <c r="A706" s="1">
        <v>43130</v>
      </c>
      <c r="B706" s="5">
        <v>2822.429932</v>
      </c>
      <c r="C706" s="7">
        <f t="shared" si="26"/>
        <v>9.7434733922389855E-2</v>
      </c>
    </row>
    <row r="707" spans="1:3" x14ac:dyDescent="0.25">
      <c r="A707" s="1">
        <v>43131</v>
      </c>
      <c r="B707" s="5">
        <v>2823.8100589999999</v>
      </c>
      <c r="C707" s="7">
        <f t="shared" ref="C707:C770" si="27">LN(B707/B643)</f>
        <v>8.9882989822873849E-2</v>
      </c>
    </row>
    <row r="708" spans="1:3" x14ac:dyDescent="0.25">
      <c r="A708" s="1">
        <v>43132</v>
      </c>
      <c r="B708" s="5">
        <v>2821.9799800000001</v>
      </c>
      <c r="C708" s="7">
        <f t="shared" si="27"/>
        <v>9.2432268446968377E-2</v>
      </c>
    </row>
    <row r="709" spans="1:3" x14ac:dyDescent="0.25">
      <c r="A709" s="1">
        <v>43133</v>
      </c>
      <c r="B709" s="5">
        <v>2762.1298830000001</v>
      </c>
      <c r="C709" s="7">
        <f t="shared" si="27"/>
        <v>7.0051575087984402E-2</v>
      </c>
    </row>
    <row r="710" spans="1:3" x14ac:dyDescent="0.25">
      <c r="A710" s="1">
        <v>43136</v>
      </c>
      <c r="B710" s="5">
        <v>2648.9399410000001</v>
      </c>
      <c r="C710" s="7">
        <f t="shared" si="27"/>
        <v>2.6618190075021586E-2</v>
      </c>
    </row>
    <row r="711" spans="1:3" x14ac:dyDescent="0.25">
      <c r="A711" s="1">
        <v>43137</v>
      </c>
      <c r="B711" s="5">
        <v>2695.139893</v>
      </c>
      <c r="C711" s="7">
        <f t="shared" si="27"/>
        <v>4.3718815667384857E-2</v>
      </c>
    </row>
    <row r="712" spans="1:3" x14ac:dyDescent="0.25">
      <c r="A712" s="1">
        <v>43138</v>
      </c>
      <c r="B712" s="5">
        <v>2681.6599120000001</v>
      </c>
      <c r="C712" s="7">
        <f t="shared" si="27"/>
        <v>3.5612388010979081E-2</v>
      </c>
    </row>
    <row r="713" spans="1:3" x14ac:dyDescent="0.25">
      <c r="A713" s="1">
        <v>43139</v>
      </c>
      <c r="B713" s="5">
        <v>2581</v>
      </c>
      <c r="C713" s="7">
        <f t="shared" si="27"/>
        <v>-3.9171081089100744E-3</v>
      </c>
    </row>
    <row r="714" spans="1:3" x14ac:dyDescent="0.25">
      <c r="A714" s="1">
        <v>43140</v>
      </c>
      <c r="B714" s="5">
        <v>2619.5500489999999</v>
      </c>
      <c r="C714" s="7">
        <f t="shared" si="27"/>
        <v>1.109765787082498E-2</v>
      </c>
    </row>
    <row r="715" spans="1:3" x14ac:dyDescent="0.25">
      <c r="A715" s="1">
        <v>43143</v>
      </c>
      <c r="B715" s="5">
        <v>2656</v>
      </c>
      <c r="C715" s="7">
        <f t="shared" si="27"/>
        <v>2.3473709641912758E-2</v>
      </c>
    </row>
    <row r="716" spans="1:3" x14ac:dyDescent="0.25">
      <c r="A716" s="1">
        <v>43144</v>
      </c>
      <c r="B716" s="5">
        <v>2662.9399410000001</v>
      </c>
      <c r="C716" s="7">
        <f t="shared" si="27"/>
        <v>2.9852212953819703E-2</v>
      </c>
    </row>
    <row r="717" spans="1:3" x14ac:dyDescent="0.25">
      <c r="A717" s="1">
        <v>43145</v>
      </c>
      <c r="B717" s="5">
        <v>2698.6298830000001</v>
      </c>
      <c r="C717" s="7">
        <f t="shared" si="27"/>
        <v>4.4063699821703592E-2</v>
      </c>
    </row>
    <row r="718" spans="1:3" x14ac:dyDescent="0.25">
      <c r="A718" s="1">
        <v>43146</v>
      </c>
      <c r="B718" s="5">
        <v>2731.1999510000001</v>
      </c>
      <c r="C718" s="7">
        <f t="shared" si="27"/>
        <v>5.5077410579020866E-2</v>
      </c>
    </row>
    <row r="719" spans="1:3" x14ac:dyDescent="0.25">
      <c r="A719" s="1">
        <v>43147</v>
      </c>
      <c r="B719" s="5">
        <v>2732.219971</v>
      </c>
      <c r="C719" s="7">
        <f t="shared" si="27"/>
        <v>5.7763091075831823E-2</v>
      </c>
    </row>
    <row r="720" spans="1:3" x14ac:dyDescent="0.25">
      <c r="A720" s="1">
        <v>43151</v>
      </c>
      <c r="B720" s="5">
        <v>2716.26001</v>
      </c>
      <c r="C720" s="7">
        <f t="shared" si="27"/>
        <v>5.7445572689151167E-2</v>
      </c>
    </row>
    <row r="721" spans="1:3" x14ac:dyDescent="0.25">
      <c r="A721" s="1">
        <v>43152</v>
      </c>
      <c r="B721" s="5">
        <v>2701.330078</v>
      </c>
      <c r="C721" s="7">
        <f t="shared" si="27"/>
        <v>4.3771255054037422E-2</v>
      </c>
    </row>
    <row r="722" spans="1:3" x14ac:dyDescent="0.25">
      <c r="A722" s="1">
        <v>43153</v>
      </c>
      <c r="B722" s="5">
        <v>2703.959961</v>
      </c>
      <c r="C722" s="7">
        <f t="shared" si="27"/>
        <v>4.7373749617765394E-2</v>
      </c>
    </row>
    <row r="723" spans="1:3" x14ac:dyDescent="0.25">
      <c r="A723" s="1">
        <v>43154</v>
      </c>
      <c r="B723" s="5">
        <v>2747.3000489999999</v>
      </c>
      <c r="C723" s="7">
        <f t="shared" si="27"/>
        <v>6.2000157983457364E-2</v>
      </c>
    </row>
    <row r="724" spans="1:3" x14ac:dyDescent="0.25">
      <c r="A724" s="1">
        <v>43157</v>
      </c>
      <c r="B724" s="5">
        <v>2779.6000979999999</v>
      </c>
      <c r="C724" s="7">
        <f t="shared" si="27"/>
        <v>6.7168758063046993E-2</v>
      </c>
    </row>
    <row r="725" spans="1:3" x14ac:dyDescent="0.25">
      <c r="A725" s="1">
        <v>43158</v>
      </c>
      <c r="B725" s="5">
        <v>2744.280029</v>
      </c>
      <c r="C725" s="7">
        <f t="shared" si="27"/>
        <v>5.5130989026966171E-2</v>
      </c>
    </row>
    <row r="726" spans="1:3" x14ac:dyDescent="0.25">
      <c r="A726" s="1">
        <v>43159</v>
      </c>
      <c r="B726" s="5">
        <v>2713.830078</v>
      </c>
      <c r="C726" s="7">
        <f t="shared" si="27"/>
        <v>4.1919198631034008E-2</v>
      </c>
    </row>
    <row r="727" spans="1:3" x14ac:dyDescent="0.25">
      <c r="A727" s="1">
        <v>43160</v>
      </c>
      <c r="B727" s="5">
        <v>2677.669922</v>
      </c>
      <c r="C727" s="7">
        <f t="shared" si="27"/>
        <v>2.8889564455685121E-2</v>
      </c>
    </row>
    <row r="728" spans="1:3" x14ac:dyDescent="0.25">
      <c r="A728" s="1">
        <v>43161</v>
      </c>
      <c r="B728" s="5">
        <v>2691.25</v>
      </c>
      <c r="C728" s="7">
        <f t="shared" si="27"/>
        <v>2.4148017769249398E-2</v>
      </c>
    </row>
    <row r="729" spans="1:3" x14ac:dyDescent="0.25">
      <c r="A729" s="1">
        <v>43164</v>
      </c>
      <c r="B729" s="5">
        <v>2720.9399410000001</v>
      </c>
      <c r="C729" s="7">
        <f t="shared" si="27"/>
        <v>3.5488929226319736E-2</v>
      </c>
    </row>
    <row r="730" spans="1:3" x14ac:dyDescent="0.25">
      <c r="A730" s="1">
        <v>43165</v>
      </c>
      <c r="B730" s="5">
        <v>2728.1201169999999</v>
      </c>
      <c r="C730" s="7">
        <f t="shared" si="27"/>
        <v>2.9966725486445748E-2</v>
      </c>
    </row>
    <row r="731" spans="1:3" x14ac:dyDescent="0.25">
      <c r="A731" s="1">
        <v>43166</v>
      </c>
      <c r="B731" s="5">
        <v>2726.8000489999999</v>
      </c>
      <c r="C731" s="7">
        <f t="shared" si="27"/>
        <v>3.1509316568723904E-2</v>
      </c>
    </row>
    <row r="732" spans="1:3" x14ac:dyDescent="0.25">
      <c r="A732" s="1">
        <v>43167</v>
      </c>
      <c r="B732" s="5">
        <v>2738.969971</v>
      </c>
      <c r="C732" s="7">
        <f t="shared" si="27"/>
        <v>3.7015175638526132E-2</v>
      </c>
    </row>
    <row r="733" spans="1:3" x14ac:dyDescent="0.25">
      <c r="A733" s="1">
        <v>43168</v>
      </c>
      <c r="B733" s="5">
        <v>2786.570068</v>
      </c>
      <c r="C733" s="7">
        <f t="shared" si="27"/>
        <v>5.7991112651084607E-2</v>
      </c>
    </row>
    <row r="734" spans="1:3" x14ac:dyDescent="0.25">
      <c r="A734" s="1">
        <v>43171</v>
      </c>
      <c r="B734" s="5">
        <v>2783.0200199999999</v>
      </c>
      <c r="C734" s="7">
        <f t="shared" si="27"/>
        <v>5.6830427466067118E-2</v>
      </c>
    </row>
    <row r="735" spans="1:3" x14ac:dyDescent="0.25">
      <c r="A735" s="1">
        <v>43172</v>
      </c>
      <c r="B735" s="5">
        <v>2765.3100589999999</v>
      </c>
      <c r="C735" s="7">
        <f t="shared" si="27"/>
        <v>4.751845037616189E-2</v>
      </c>
    </row>
    <row r="736" spans="1:3" x14ac:dyDescent="0.25">
      <c r="A736" s="1">
        <v>43173</v>
      </c>
      <c r="B736" s="5">
        <v>2749.4799800000001</v>
      </c>
      <c r="C736" s="7">
        <f t="shared" si="27"/>
        <v>3.6286278020298678E-2</v>
      </c>
    </row>
    <row r="737" spans="1:3" x14ac:dyDescent="0.25">
      <c r="A737" s="1">
        <v>43174</v>
      </c>
      <c r="B737" s="5">
        <v>2747.330078</v>
      </c>
      <c r="C737" s="7">
        <f t="shared" si="27"/>
        <v>3.2307199712605462E-2</v>
      </c>
    </row>
    <row r="738" spans="1:3" x14ac:dyDescent="0.25">
      <c r="A738" s="1">
        <v>43175</v>
      </c>
      <c r="B738" s="5">
        <v>2752.01001</v>
      </c>
      <c r="C738" s="7">
        <f t="shared" si="27"/>
        <v>3.2461474138655182E-2</v>
      </c>
    </row>
    <row r="739" spans="1:3" x14ac:dyDescent="0.25">
      <c r="A739" s="1">
        <v>43178</v>
      </c>
      <c r="B739" s="5">
        <v>2712.919922</v>
      </c>
      <c r="C739" s="7">
        <f t="shared" si="27"/>
        <v>1.8628502240896898E-2</v>
      </c>
    </row>
    <row r="740" spans="1:3" x14ac:dyDescent="0.25">
      <c r="A740" s="1">
        <v>43179</v>
      </c>
      <c r="B740" s="5">
        <v>2716.9399410000001</v>
      </c>
      <c r="C740" s="7">
        <f t="shared" si="27"/>
        <v>2.4188378478492475E-2</v>
      </c>
    </row>
    <row r="741" spans="1:3" x14ac:dyDescent="0.25">
      <c r="A741" s="1">
        <v>43180</v>
      </c>
      <c r="B741" s="5">
        <v>2711.929932</v>
      </c>
      <c r="C741" s="7">
        <f t="shared" si="27"/>
        <v>1.3408373161314567E-2</v>
      </c>
    </row>
    <row r="742" spans="1:3" x14ac:dyDescent="0.25">
      <c r="A742" s="1">
        <v>43181</v>
      </c>
      <c r="B742" s="5">
        <v>2643.6899410000001</v>
      </c>
      <c r="C742" s="7">
        <f t="shared" si="27"/>
        <v>-1.7424992484840772E-2</v>
      </c>
    </row>
    <row r="743" spans="1:3" x14ac:dyDescent="0.25">
      <c r="A743" s="1">
        <v>43182</v>
      </c>
      <c r="B743" s="5">
        <v>2588.26001</v>
      </c>
      <c r="C743" s="7">
        <f t="shared" si="27"/>
        <v>-3.537930166062303E-2</v>
      </c>
    </row>
    <row r="744" spans="1:3" x14ac:dyDescent="0.25">
      <c r="A744" s="1">
        <v>43185</v>
      </c>
      <c r="B744" s="5">
        <v>2658.5500489999999</v>
      </c>
      <c r="C744" s="7">
        <f t="shared" si="27"/>
        <v>-7.7560247962047794E-3</v>
      </c>
    </row>
    <row r="745" spans="1:3" x14ac:dyDescent="0.25">
      <c r="A745" s="1">
        <v>43186</v>
      </c>
      <c r="B745" s="5">
        <v>2612.6201169999999</v>
      </c>
      <c r="C745" s="7">
        <f t="shared" si="27"/>
        <v>-2.7166997456734968E-2</v>
      </c>
    </row>
    <row r="746" spans="1:3" x14ac:dyDescent="0.25">
      <c r="A746" s="1">
        <v>43187</v>
      </c>
      <c r="B746" s="5">
        <v>2605</v>
      </c>
      <c r="C746" s="7">
        <f t="shared" si="27"/>
        <v>-2.9629644820944455E-2</v>
      </c>
    </row>
    <row r="747" spans="1:3" x14ac:dyDescent="0.25">
      <c r="A747" s="1">
        <v>43188</v>
      </c>
      <c r="B747" s="5">
        <v>2640.8701169999999</v>
      </c>
      <c r="C747" s="7">
        <f t="shared" si="27"/>
        <v>-1.4894891657281093E-2</v>
      </c>
    </row>
    <row r="748" spans="1:3" x14ac:dyDescent="0.25">
      <c r="A748" s="1">
        <v>43192</v>
      </c>
      <c r="B748" s="5">
        <v>2581.8798830000001</v>
      </c>
      <c r="C748" s="7">
        <f t="shared" si="27"/>
        <v>-3.8276202097503945E-2</v>
      </c>
    </row>
    <row r="749" spans="1:3" x14ac:dyDescent="0.25">
      <c r="A749" s="1">
        <v>43193</v>
      </c>
      <c r="B749" s="5">
        <v>2614.4499510000001</v>
      </c>
      <c r="C749" s="7">
        <f t="shared" si="27"/>
        <v>-2.7572559969683139E-2</v>
      </c>
    </row>
    <row r="750" spans="1:3" x14ac:dyDescent="0.25">
      <c r="A750" s="1">
        <v>43194</v>
      </c>
      <c r="B750" s="5">
        <v>2644.6899410000001</v>
      </c>
      <c r="C750" s="7">
        <f t="shared" si="27"/>
        <v>-1.0875825283820636E-2</v>
      </c>
    </row>
    <row r="751" spans="1:3" x14ac:dyDescent="0.25">
      <c r="A751" s="1">
        <v>43195</v>
      </c>
      <c r="B751" s="5">
        <v>2662.8400879999999</v>
      </c>
      <c r="C751" s="7">
        <f t="shared" si="27"/>
        <v>-1.2305482214372372E-2</v>
      </c>
    </row>
    <row r="752" spans="1:3" x14ac:dyDescent="0.25">
      <c r="A752" s="1">
        <v>43196</v>
      </c>
      <c r="B752" s="5">
        <v>2604.469971</v>
      </c>
      <c r="C752" s="7">
        <f t="shared" si="27"/>
        <v>-4.0847982441503103E-2</v>
      </c>
    </row>
    <row r="753" spans="1:3" x14ac:dyDescent="0.25">
      <c r="A753" s="1">
        <v>43199</v>
      </c>
      <c r="B753" s="5">
        <v>2613.1599120000001</v>
      </c>
      <c r="C753" s="7">
        <f t="shared" si="27"/>
        <v>-4.1537530249299695E-2</v>
      </c>
    </row>
    <row r="754" spans="1:3" x14ac:dyDescent="0.25">
      <c r="A754" s="1">
        <v>43200</v>
      </c>
      <c r="B754" s="5">
        <v>2656.8701169999999</v>
      </c>
      <c r="C754" s="7">
        <f t="shared" si="27"/>
        <v>-3.1958077131016255E-2</v>
      </c>
    </row>
    <row r="755" spans="1:3" x14ac:dyDescent="0.25">
      <c r="A755" s="1">
        <v>43201</v>
      </c>
      <c r="B755" s="5">
        <v>2642.1899410000001</v>
      </c>
      <c r="C755" s="7">
        <f t="shared" si="27"/>
        <v>-3.9159726902015912E-2</v>
      </c>
    </row>
    <row r="756" spans="1:3" x14ac:dyDescent="0.25">
      <c r="A756" s="1">
        <v>43202</v>
      </c>
      <c r="B756" s="5">
        <v>2663.98999</v>
      </c>
      <c r="C756" s="7">
        <f t="shared" si="27"/>
        <v>-3.2244911610418328E-2</v>
      </c>
    </row>
    <row r="757" spans="1:3" x14ac:dyDescent="0.25">
      <c r="A757" s="1">
        <v>43203</v>
      </c>
      <c r="B757" s="5">
        <v>2656.3000489999999</v>
      </c>
      <c r="C757" s="7">
        <f t="shared" si="27"/>
        <v>-3.4022865325073107E-2</v>
      </c>
    </row>
    <row r="758" spans="1:3" x14ac:dyDescent="0.25">
      <c r="A758" s="1">
        <v>43206</v>
      </c>
      <c r="B758" s="5">
        <v>2677.8400879999999</v>
      </c>
      <c r="C758" s="7">
        <f t="shared" si="27"/>
        <v>-3.2955554633606436E-2</v>
      </c>
    </row>
    <row r="759" spans="1:3" x14ac:dyDescent="0.25">
      <c r="A759" s="1">
        <v>43207</v>
      </c>
      <c r="B759" s="5">
        <v>2706.389893</v>
      </c>
      <c r="C759" s="7">
        <f t="shared" si="27"/>
        <v>-2.9077409072888607E-2</v>
      </c>
    </row>
    <row r="760" spans="1:3" x14ac:dyDescent="0.25">
      <c r="A760" s="1">
        <v>43208</v>
      </c>
      <c r="B760" s="5">
        <v>2708.639893</v>
      </c>
      <c r="C760" s="7">
        <f t="shared" si="27"/>
        <v>-2.4715675533003099E-2</v>
      </c>
    </row>
    <row r="761" spans="1:3" x14ac:dyDescent="0.25">
      <c r="A761" s="1">
        <v>43209</v>
      </c>
      <c r="B761" s="5">
        <v>2693.1298830000001</v>
      </c>
      <c r="C761" s="7">
        <f t="shared" si="27"/>
        <v>-3.9829263721402539E-2</v>
      </c>
    </row>
    <row r="762" spans="1:3" x14ac:dyDescent="0.25">
      <c r="A762" s="1">
        <v>43210</v>
      </c>
      <c r="B762" s="5">
        <v>2670.139893</v>
      </c>
      <c r="C762" s="7">
        <f t="shared" si="27"/>
        <v>-4.6784743072847614E-2</v>
      </c>
    </row>
    <row r="763" spans="1:3" x14ac:dyDescent="0.25">
      <c r="A763" s="1">
        <v>43213</v>
      </c>
      <c r="B763" s="5">
        <v>2670.290039</v>
      </c>
      <c r="C763" s="7">
        <f t="shared" si="27"/>
        <v>-5.1104161297316653E-2</v>
      </c>
    </row>
    <row r="764" spans="1:3" x14ac:dyDescent="0.25">
      <c r="A764" s="1">
        <v>43214</v>
      </c>
      <c r="B764" s="5">
        <v>2634.5600589999999</v>
      </c>
      <c r="C764" s="7">
        <f t="shared" si="27"/>
        <v>-7.2609413552032973E-2</v>
      </c>
    </row>
    <row r="765" spans="1:3" x14ac:dyDescent="0.25">
      <c r="A765" s="1">
        <v>43215</v>
      </c>
      <c r="B765" s="5">
        <v>2639.3999020000001</v>
      </c>
      <c r="C765" s="7">
        <f t="shared" si="27"/>
        <v>-7.294604453311844E-2</v>
      </c>
    </row>
    <row r="766" spans="1:3" x14ac:dyDescent="0.25">
      <c r="A766" s="1">
        <v>43216</v>
      </c>
      <c r="B766" s="5">
        <v>2666.9399410000001</v>
      </c>
      <c r="C766" s="7">
        <f t="shared" si="27"/>
        <v>-6.2005767732532045E-2</v>
      </c>
    </row>
    <row r="767" spans="1:3" x14ac:dyDescent="0.25">
      <c r="A767" s="1">
        <v>43217</v>
      </c>
      <c r="B767" s="5">
        <v>2669.9099120000001</v>
      </c>
      <c r="C767" s="7">
        <f t="shared" si="27"/>
        <v>-6.1495201770664837E-2</v>
      </c>
    </row>
    <row r="768" spans="1:3" x14ac:dyDescent="0.25">
      <c r="A768" s="1">
        <v>43220</v>
      </c>
      <c r="B768" s="5">
        <v>2648.0500489999999</v>
      </c>
      <c r="C768" s="7">
        <f t="shared" si="27"/>
        <v>-8.1488032254532633E-2</v>
      </c>
    </row>
    <row r="769" spans="1:3" x14ac:dyDescent="0.25">
      <c r="A769" s="1">
        <v>43221</v>
      </c>
      <c r="B769" s="5">
        <v>2654.8000489999999</v>
      </c>
      <c r="C769" s="7">
        <f t="shared" si="27"/>
        <v>-7.2187493760035124E-2</v>
      </c>
    </row>
    <row r="770" spans="1:3" x14ac:dyDescent="0.25">
      <c r="A770" s="1">
        <v>43222</v>
      </c>
      <c r="B770" s="5">
        <v>2635.669922</v>
      </c>
      <c r="C770" s="7">
        <f t="shared" si="27"/>
        <v>-6.8460802404781432E-2</v>
      </c>
    </row>
    <row r="771" spans="1:3" x14ac:dyDescent="0.25">
      <c r="A771" s="1">
        <v>43223</v>
      </c>
      <c r="B771" s="5">
        <v>2629.7299800000001</v>
      </c>
      <c r="C771" s="7">
        <f t="shared" ref="C771:C834" si="28">LN(B771/B707)</f>
        <v>-7.1205886090754317E-2</v>
      </c>
    </row>
    <row r="772" spans="1:3" x14ac:dyDescent="0.25">
      <c r="A772" s="1">
        <v>43224</v>
      </c>
      <c r="B772" s="5">
        <v>2663.419922</v>
      </c>
      <c r="C772" s="7">
        <f t="shared" si="28"/>
        <v>-5.7827777175241034E-2</v>
      </c>
    </row>
    <row r="773" spans="1:3" x14ac:dyDescent="0.25">
      <c r="A773" s="1">
        <v>43227</v>
      </c>
      <c r="B773" s="5">
        <v>2672.6298830000001</v>
      </c>
      <c r="C773" s="7">
        <f t="shared" si="28"/>
        <v>-3.2939116314317875E-2</v>
      </c>
    </row>
    <row r="774" spans="1:3" x14ac:dyDescent="0.25">
      <c r="A774" s="1">
        <v>43228</v>
      </c>
      <c r="B774" s="5">
        <v>2671.919922</v>
      </c>
      <c r="C774" s="7">
        <f t="shared" si="28"/>
        <v>8.6377482102024707E-3</v>
      </c>
    </row>
    <row r="775" spans="1:3" x14ac:dyDescent="0.25">
      <c r="A775" s="1">
        <v>43229</v>
      </c>
      <c r="B775" s="5">
        <v>2697.790039</v>
      </c>
      <c r="C775" s="7">
        <f t="shared" si="28"/>
        <v>9.8282241628922483E-4</v>
      </c>
    </row>
    <row r="776" spans="1:3" x14ac:dyDescent="0.25">
      <c r="A776" s="1">
        <v>43230</v>
      </c>
      <c r="B776" s="5">
        <v>2723.070068</v>
      </c>
      <c r="C776" s="7">
        <f t="shared" si="28"/>
        <v>1.5323972332401178E-2</v>
      </c>
    </row>
    <row r="777" spans="1:3" x14ac:dyDescent="0.25">
      <c r="A777" s="1">
        <v>43231</v>
      </c>
      <c r="B777" s="5">
        <v>2727.719971</v>
      </c>
      <c r="C777" s="7">
        <f t="shared" si="28"/>
        <v>5.5289164049188426E-2</v>
      </c>
    </row>
    <row r="778" spans="1:3" x14ac:dyDescent="0.25">
      <c r="A778" s="1">
        <v>43234</v>
      </c>
      <c r="B778" s="5">
        <v>2730.1298830000001</v>
      </c>
      <c r="C778" s="7">
        <f t="shared" si="28"/>
        <v>4.1346618254019848E-2</v>
      </c>
    </row>
    <row r="779" spans="1:3" x14ac:dyDescent="0.25">
      <c r="A779" s="1">
        <v>43235</v>
      </c>
      <c r="B779" s="5">
        <v>2711.4499510000001</v>
      </c>
      <c r="C779" s="7">
        <f t="shared" si="28"/>
        <v>2.0662297465388658E-2</v>
      </c>
    </row>
    <row r="780" spans="1:3" x14ac:dyDescent="0.25">
      <c r="A780" s="1">
        <v>43236</v>
      </c>
      <c r="B780" s="5">
        <v>2722.459961</v>
      </c>
      <c r="C780" s="7">
        <f t="shared" si="28"/>
        <v>2.2105115571528309E-2</v>
      </c>
    </row>
    <row r="781" spans="1:3" x14ac:dyDescent="0.25">
      <c r="A781" s="1">
        <v>43237</v>
      </c>
      <c r="B781" s="5">
        <v>2720.1298830000001</v>
      </c>
      <c r="C781" s="7">
        <f t="shared" si="28"/>
        <v>7.9354367979578583E-3</v>
      </c>
    </row>
    <row r="782" spans="1:3" x14ac:dyDescent="0.25">
      <c r="A782" s="1">
        <v>43238</v>
      </c>
      <c r="B782" s="5">
        <v>2712.969971</v>
      </c>
      <c r="C782" s="7">
        <f t="shared" si="28"/>
        <v>-6.6970900604603851E-3</v>
      </c>
    </row>
    <row r="783" spans="1:3" x14ac:dyDescent="0.25">
      <c r="A783" s="1">
        <v>43241</v>
      </c>
      <c r="B783" s="5">
        <v>2733.01001</v>
      </c>
      <c r="C783" s="7">
        <f t="shared" si="28"/>
        <v>2.8911464229298999E-4</v>
      </c>
    </row>
    <row r="784" spans="1:3" x14ac:dyDescent="0.25">
      <c r="A784" s="1">
        <v>43242</v>
      </c>
      <c r="B784" s="5">
        <v>2724.4399410000001</v>
      </c>
      <c r="C784" s="7">
        <f t="shared" si="28"/>
        <v>3.006942943756012E-3</v>
      </c>
    </row>
    <row r="785" spans="1:3" x14ac:dyDescent="0.25">
      <c r="A785" s="1">
        <v>43243</v>
      </c>
      <c r="B785" s="5">
        <v>2733.290039</v>
      </c>
      <c r="C785" s="7">
        <f t="shared" si="28"/>
        <v>1.1761752892772143E-2</v>
      </c>
    </row>
    <row r="786" spans="1:3" x14ac:dyDescent="0.25">
      <c r="A786" s="1">
        <v>43244</v>
      </c>
      <c r="B786" s="5">
        <v>2727.76001</v>
      </c>
      <c r="C786" s="7">
        <f t="shared" si="28"/>
        <v>8.7634124888720643E-3</v>
      </c>
    </row>
    <row r="787" spans="1:3" x14ac:dyDescent="0.25">
      <c r="A787" s="1">
        <v>43245</v>
      </c>
      <c r="B787" s="5">
        <v>2721.330078</v>
      </c>
      <c r="C787" s="7">
        <f t="shared" si="28"/>
        <v>-9.4978689817375346E-3</v>
      </c>
    </row>
    <row r="788" spans="1:3" x14ac:dyDescent="0.25">
      <c r="A788" s="1">
        <v>43249</v>
      </c>
      <c r="B788" s="5">
        <v>2689.860107</v>
      </c>
      <c r="C788" s="7">
        <f t="shared" si="28"/>
        <v>-3.2817880286170296E-2</v>
      </c>
    </row>
    <row r="789" spans="1:3" x14ac:dyDescent="0.25">
      <c r="A789" s="1">
        <v>43250</v>
      </c>
      <c r="B789" s="5">
        <v>2724.01001</v>
      </c>
      <c r="C789" s="7">
        <f t="shared" si="28"/>
        <v>-7.4136930180510787E-3</v>
      </c>
    </row>
    <row r="790" spans="1:3" x14ac:dyDescent="0.25">
      <c r="A790" s="1">
        <v>43251</v>
      </c>
      <c r="B790" s="5">
        <v>2705.2700199999999</v>
      </c>
      <c r="C790" s="7">
        <f t="shared" si="28"/>
        <v>-3.1592201527158499E-3</v>
      </c>
    </row>
    <row r="791" spans="1:3" x14ac:dyDescent="0.25">
      <c r="A791" s="1">
        <v>43252</v>
      </c>
      <c r="B791" s="5">
        <v>2734.6201169999999</v>
      </c>
      <c r="C791" s="7">
        <f t="shared" si="28"/>
        <v>2.1045545076819334E-2</v>
      </c>
    </row>
    <row r="792" spans="1:3" x14ac:dyDescent="0.25">
      <c r="A792" s="1">
        <v>43255</v>
      </c>
      <c r="B792" s="5">
        <v>2746.8701169999999</v>
      </c>
      <c r="C792" s="7">
        <f t="shared" si="28"/>
        <v>2.0456354536961159E-2</v>
      </c>
    </row>
    <row r="793" spans="1:3" x14ac:dyDescent="0.25">
      <c r="A793" s="1">
        <v>43256</v>
      </c>
      <c r="B793" s="5">
        <v>2748.8000489999999</v>
      </c>
      <c r="C793" s="7">
        <f t="shared" si="28"/>
        <v>1.0187083476102081E-2</v>
      </c>
    </row>
    <row r="794" spans="1:3" x14ac:dyDescent="0.25">
      <c r="A794" s="1">
        <v>43257</v>
      </c>
      <c r="B794" s="5">
        <v>2772.3500979999999</v>
      </c>
      <c r="C794" s="7">
        <f t="shared" si="28"/>
        <v>1.6082601162305879E-2</v>
      </c>
    </row>
    <row r="795" spans="1:3" x14ac:dyDescent="0.25">
      <c r="A795" s="1">
        <v>43258</v>
      </c>
      <c r="B795" s="5">
        <v>2770.3701169999999</v>
      </c>
      <c r="C795" s="7">
        <f t="shared" si="28"/>
        <v>1.5852149042604725E-2</v>
      </c>
    </row>
    <row r="796" spans="1:3" x14ac:dyDescent="0.25">
      <c r="A796" s="1">
        <v>43259</v>
      </c>
      <c r="B796" s="5">
        <v>2779.030029</v>
      </c>
      <c r="C796" s="7">
        <f t="shared" si="28"/>
        <v>1.4520029656967488E-2</v>
      </c>
    </row>
    <row r="797" spans="1:3" x14ac:dyDescent="0.25">
      <c r="A797" s="1">
        <v>43262</v>
      </c>
      <c r="B797" s="5">
        <v>2782</v>
      </c>
      <c r="C797" s="7">
        <f t="shared" si="28"/>
        <v>-1.641379733117075E-3</v>
      </c>
    </row>
    <row r="798" spans="1:3" x14ac:dyDescent="0.25">
      <c r="A798" s="1">
        <v>43263</v>
      </c>
      <c r="B798" s="5">
        <v>2786.8500979999999</v>
      </c>
      <c r="C798" s="7">
        <f t="shared" si="28"/>
        <v>1.3752847095335962E-3</v>
      </c>
    </row>
    <row r="799" spans="1:3" x14ac:dyDescent="0.25">
      <c r="A799" s="1">
        <v>43264</v>
      </c>
      <c r="B799" s="5">
        <v>2775.6298830000001</v>
      </c>
      <c r="C799" s="7">
        <f t="shared" si="28"/>
        <v>3.7249405481646998E-3</v>
      </c>
    </row>
    <row r="800" spans="1:3" x14ac:dyDescent="0.25">
      <c r="A800" s="1">
        <v>43265</v>
      </c>
      <c r="B800" s="5">
        <v>2782.48999</v>
      </c>
      <c r="C800" s="7">
        <f t="shared" si="28"/>
        <v>1.1934411061468723E-2</v>
      </c>
    </row>
    <row r="801" spans="1:3" x14ac:dyDescent="0.25">
      <c r="A801" s="1">
        <v>43266</v>
      </c>
      <c r="B801" s="5">
        <v>2779.6599120000001</v>
      </c>
      <c r="C801" s="7">
        <f t="shared" si="28"/>
        <v>1.1699027064967E-2</v>
      </c>
    </row>
    <row r="802" spans="1:3" x14ac:dyDescent="0.25">
      <c r="A802" s="1">
        <v>43269</v>
      </c>
      <c r="B802" s="5">
        <v>2773.75</v>
      </c>
      <c r="C802" s="7">
        <f t="shared" si="28"/>
        <v>7.8686378455333494E-3</v>
      </c>
    </row>
    <row r="803" spans="1:3" x14ac:dyDescent="0.25">
      <c r="A803" s="1">
        <v>43270</v>
      </c>
      <c r="B803" s="5">
        <v>2762.5900879999999</v>
      </c>
      <c r="C803" s="7">
        <f t="shared" si="28"/>
        <v>1.8143160514196066E-2</v>
      </c>
    </row>
    <row r="804" spans="1:3" x14ac:dyDescent="0.25">
      <c r="A804" s="1">
        <v>43271</v>
      </c>
      <c r="B804" s="5">
        <v>2767.320068</v>
      </c>
      <c r="C804" s="7">
        <f t="shared" si="28"/>
        <v>1.8373142102734753E-2</v>
      </c>
    </row>
    <row r="805" spans="1:3" x14ac:dyDescent="0.25">
      <c r="A805" s="1">
        <v>43272</v>
      </c>
      <c r="B805" s="5">
        <v>2749.76001</v>
      </c>
      <c r="C805" s="7">
        <f t="shared" si="28"/>
        <v>1.3853105318201428E-2</v>
      </c>
    </row>
    <row r="806" spans="1:3" x14ac:dyDescent="0.25">
      <c r="A806" s="1">
        <v>43273</v>
      </c>
      <c r="B806" s="5">
        <v>2754.8798830000001</v>
      </c>
      <c r="C806" s="7">
        <f t="shared" si="28"/>
        <v>4.119819581520022E-2</v>
      </c>
    </row>
    <row r="807" spans="1:3" x14ac:dyDescent="0.25">
      <c r="A807" s="1">
        <v>43276</v>
      </c>
      <c r="B807" s="5">
        <v>2717.070068</v>
      </c>
      <c r="C807" s="7">
        <f t="shared" si="28"/>
        <v>4.8568279714632651E-2</v>
      </c>
    </row>
    <row r="808" spans="1:3" x14ac:dyDescent="0.25">
      <c r="A808" s="1">
        <v>43277</v>
      </c>
      <c r="B808" s="5">
        <v>2723.0600589999999</v>
      </c>
      <c r="C808" s="7">
        <f t="shared" si="28"/>
        <v>2.3975389821651649E-2</v>
      </c>
    </row>
    <row r="809" spans="1:3" x14ac:dyDescent="0.25">
      <c r="A809" s="1">
        <v>43278</v>
      </c>
      <c r="B809" s="5">
        <v>2699.6298830000001</v>
      </c>
      <c r="C809" s="7">
        <f t="shared" si="28"/>
        <v>3.2761089210514585E-2</v>
      </c>
    </row>
    <row r="810" spans="1:3" x14ac:dyDescent="0.25">
      <c r="A810" s="1">
        <v>43279</v>
      </c>
      <c r="B810" s="5">
        <v>2716.3100589999999</v>
      </c>
      <c r="C810" s="7">
        <f t="shared" si="28"/>
        <v>4.1841688137346997E-2</v>
      </c>
    </row>
    <row r="811" spans="1:3" x14ac:dyDescent="0.25">
      <c r="A811" s="1">
        <v>43280</v>
      </c>
      <c r="B811" s="5">
        <v>2718.3701169999999</v>
      </c>
      <c r="C811" s="7">
        <f t="shared" si="28"/>
        <v>2.8924026383485041E-2</v>
      </c>
    </row>
    <row r="812" spans="1:3" x14ac:dyDescent="0.25">
      <c r="A812" s="1">
        <v>43283</v>
      </c>
      <c r="B812" s="5">
        <v>2726.709961</v>
      </c>
      <c r="C812" s="7">
        <f t="shared" si="28"/>
        <v>5.4577969509550038E-2</v>
      </c>
    </row>
    <row r="813" spans="1:3" x14ac:dyDescent="0.25">
      <c r="A813" s="1">
        <v>43284</v>
      </c>
      <c r="B813" s="5">
        <v>2713.219971</v>
      </c>
      <c r="C813" s="7">
        <f t="shared" si="28"/>
        <v>3.7082379138133635E-2</v>
      </c>
    </row>
    <row r="814" spans="1:3" x14ac:dyDescent="0.25">
      <c r="A814" s="1">
        <v>43286</v>
      </c>
      <c r="B814" s="5">
        <v>2736.610107</v>
      </c>
      <c r="C814" s="7">
        <f t="shared" si="28"/>
        <v>3.4166133361516512E-2</v>
      </c>
    </row>
    <row r="815" spans="1:3" x14ac:dyDescent="0.25">
      <c r="A815" s="1">
        <v>43287</v>
      </c>
      <c r="B815" s="5">
        <v>2759.820068</v>
      </c>
      <c r="C815" s="7">
        <f t="shared" si="28"/>
        <v>3.5772229389704119E-2</v>
      </c>
    </row>
    <row r="816" spans="1:3" x14ac:dyDescent="0.25">
      <c r="A816" s="1">
        <v>43290</v>
      </c>
      <c r="B816" s="5">
        <v>2784.169922</v>
      </c>
      <c r="C816" s="7">
        <f t="shared" si="28"/>
        <v>6.6720587334311854E-2</v>
      </c>
    </row>
    <row r="817" spans="1:3" x14ac:dyDescent="0.25">
      <c r="A817" s="1">
        <v>43291</v>
      </c>
      <c r="B817" s="5">
        <v>2793.8400879999999</v>
      </c>
      <c r="C817" s="7">
        <f t="shared" si="28"/>
        <v>6.6856841835634867E-2</v>
      </c>
    </row>
    <row r="818" spans="1:3" x14ac:dyDescent="0.25">
      <c r="A818" s="1">
        <v>43292</v>
      </c>
      <c r="B818" s="5">
        <v>2774.0200199999999</v>
      </c>
      <c r="C818" s="7">
        <f t="shared" si="28"/>
        <v>4.3148756625950926E-2</v>
      </c>
    </row>
    <row r="819" spans="1:3" x14ac:dyDescent="0.25">
      <c r="A819" s="1">
        <v>43293</v>
      </c>
      <c r="B819" s="5">
        <v>2798.290039</v>
      </c>
      <c r="C819" s="7">
        <f t="shared" si="28"/>
        <v>5.7400433870453592E-2</v>
      </c>
    </row>
    <row r="820" spans="1:3" x14ac:dyDescent="0.25">
      <c r="A820" s="1">
        <v>43294</v>
      </c>
      <c r="B820" s="5">
        <v>2801.3100589999999</v>
      </c>
      <c r="C820" s="7">
        <f t="shared" si="28"/>
        <v>5.0262190810985555E-2</v>
      </c>
    </row>
    <row r="821" spans="1:3" x14ac:dyDescent="0.25">
      <c r="A821" s="1">
        <v>43297</v>
      </c>
      <c r="B821" s="5">
        <v>2798.429932</v>
      </c>
      <c r="C821" s="7">
        <f t="shared" si="28"/>
        <v>5.2124325847508854E-2</v>
      </c>
    </row>
    <row r="822" spans="1:3" x14ac:dyDescent="0.25">
      <c r="A822" s="1">
        <v>43298</v>
      </c>
      <c r="B822" s="5">
        <v>2809.5500489999999</v>
      </c>
      <c r="C822" s="7">
        <f t="shared" si="28"/>
        <v>4.8013813346004547E-2</v>
      </c>
    </row>
    <row r="823" spans="1:3" x14ac:dyDescent="0.25">
      <c r="A823" s="1">
        <v>43299</v>
      </c>
      <c r="B823" s="5">
        <v>2815.6201169999999</v>
      </c>
      <c r="C823" s="7">
        <f t="shared" si="28"/>
        <v>3.9566923566070611E-2</v>
      </c>
    </row>
    <row r="824" spans="1:3" x14ac:dyDescent="0.25">
      <c r="A824" s="1">
        <v>43300</v>
      </c>
      <c r="B824" s="5">
        <v>2804.48999</v>
      </c>
      <c r="C824" s="7">
        <f t="shared" si="28"/>
        <v>3.4775076292618959E-2</v>
      </c>
    </row>
    <row r="825" spans="1:3" x14ac:dyDescent="0.25">
      <c r="A825" s="1">
        <v>43301</v>
      </c>
      <c r="B825" s="5">
        <v>2801.830078</v>
      </c>
      <c r="C825" s="7">
        <f t="shared" si="28"/>
        <v>3.9568760442264581E-2</v>
      </c>
    </row>
    <row r="826" spans="1:3" x14ac:dyDescent="0.25">
      <c r="A826" s="1">
        <v>43304</v>
      </c>
      <c r="B826" s="5">
        <v>2806.9799800000001</v>
      </c>
      <c r="C826" s="7">
        <f t="shared" si="28"/>
        <v>4.9978299763092461E-2</v>
      </c>
    </row>
    <row r="827" spans="1:3" x14ac:dyDescent="0.25">
      <c r="A827" s="1">
        <v>43305</v>
      </c>
      <c r="B827" s="5">
        <v>2820.3999020000001</v>
      </c>
      <c r="C827" s="7">
        <f t="shared" si="28"/>
        <v>5.4691588764478993E-2</v>
      </c>
    </row>
    <row r="828" spans="1:3" x14ac:dyDescent="0.25">
      <c r="A828" s="1">
        <v>43306</v>
      </c>
      <c r="B828" s="5">
        <v>2846.070068</v>
      </c>
      <c r="C828" s="7">
        <f t="shared" si="28"/>
        <v>7.7222911659330179E-2</v>
      </c>
    </row>
    <row r="829" spans="1:3" x14ac:dyDescent="0.25">
      <c r="A829" s="1">
        <v>43307</v>
      </c>
      <c r="B829" s="5">
        <v>2837.4399410000001</v>
      </c>
      <c r="C829" s="7">
        <f t="shared" si="28"/>
        <v>7.2350634945173076E-2</v>
      </c>
    </row>
    <row r="830" spans="1:3" x14ac:dyDescent="0.25">
      <c r="A830" s="1">
        <v>43308</v>
      </c>
      <c r="B830" s="5">
        <v>2818.820068</v>
      </c>
      <c r="C830" s="7">
        <f t="shared" si="28"/>
        <v>5.5386656150724238E-2</v>
      </c>
    </row>
    <row r="831" spans="1:3" x14ac:dyDescent="0.25">
      <c r="A831" s="1">
        <v>43311</v>
      </c>
      <c r="B831" s="5">
        <v>2802.6000979999999</v>
      </c>
      <c r="C831" s="7">
        <f t="shared" si="28"/>
        <v>4.8502861702555966E-2</v>
      </c>
    </row>
    <row r="832" spans="1:3" x14ac:dyDescent="0.25">
      <c r="A832" s="1">
        <v>43312</v>
      </c>
      <c r="B832" s="5">
        <v>2816.290039</v>
      </c>
      <c r="C832" s="7">
        <f t="shared" si="28"/>
        <v>6.1596891220062081E-2</v>
      </c>
    </row>
    <row r="833" spans="1:3" x14ac:dyDescent="0.25">
      <c r="A833" s="1">
        <v>43313</v>
      </c>
      <c r="B833" s="5">
        <v>2813.360107</v>
      </c>
      <c r="C833" s="7">
        <f t="shared" si="28"/>
        <v>5.8010195853866749E-2</v>
      </c>
    </row>
    <row r="834" spans="1:3" x14ac:dyDescent="0.25">
      <c r="A834" s="1">
        <v>43314</v>
      </c>
      <c r="B834" s="5">
        <v>2827.219971</v>
      </c>
      <c r="C834" s="7">
        <f t="shared" si="28"/>
        <v>7.0156496909752841E-2</v>
      </c>
    </row>
    <row r="835" spans="1:3" x14ac:dyDescent="0.25">
      <c r="A835" s="1">
        <v>43315</v>
      </c>
      <c r="B835" s="5">
        <v>2840.3500979999999</v>
      </c>
      <c r="C835" s="7">
        <f t="shared" ref="C835:C898" si="29">LN(B835/B771)</f>
        <v>7.7046146801859325E-2</v>
      </c>
    </row>
    <row r="836" spans="1:3" x14ac:dyDescent="0.25">
      <c r="A836" s="1">
        <v>43318</v>
      </c>
      <c r="B836" s="5">
        <v>2850.3999020000001</v>
      </c>
      <c r="C836" s="7">
        <f t="shared" si="29"/>
        <v>6.7848318957522788E-2</v>
      </c>
    </row>
    <row r="837" spans="1:3" x14ac:dyDescent="0.25">
      <c r="A837" s="1">
        <v>43319</v>
      </c>
      <c r="B837" s="5">
        <v>2858.4499510000001</v>
      </c>
      <c r="C837" s="7">
        <f t="shared" si="29"/>
        <v>6.721654018626344E-2</v>
      </c>
    </row>
    <row r="838" spans="1:3" x14ac:dyDescent="0.25">
      <c r="A838" s="1">
        <v>43320</v>
      </c>
      <c r="B838" s="5">
        <v>2857.6999510000001</v>
      </c>
      <c r="C838" s="7">
        <f t="shared" si="29"/>
        <v>6.7219802428059222E-2</v>
      </c>
    </row>
    <row r="839" spans="1:3" x14ac:dyDescent="0.25">
      <c r="A839" s="1">
        <v>43321</v>
      </c>
      <c r="B839" s="5">
        <v>2853.580078</v>
      </c>
      <c r="C839" s="7">
        <f t="shared" si="29"/>
        <v>5.6141439902440332E-2</v>
      </c>
    </row>
    <row r="840" spans="1:3" x14ac:dyDescent="0.25">
      <c r="A840" s="1">
        <v>43322</v>
      </c>
      <c r="B840" s="5">
        <v>2833.280029</v>
      </c>
      <c r="C840" s="7">
        <f t="shared" si="29"/>
        <v>3.9675116083177857E-2</v>
      </c>
    </row>
    <row r="841" spans="1:3" x14ac:dyDescent="0.25">
      <c r="A841" s="1">
        <v>43325</v>
      </c>
      <c r="B841" s="5">
        <v>2821.929932</v>
      </c>
      <c r="C841" s="7">
        <f t="shared" si="29"/>
        <v>3.3954939137557871E-2</v>
      </c>
    </row>
    <row r="842" spans="1:3" x14ac:dyDescent="0.25">
      <c r="A842" s="1">
        <v>43326</v>
      </c>
      <c r="B842" s="5">
        <v>2839.959961</v>
      </c>
      <c r="C842" s="7">
        <f t="shared" si="29"/>
        <v>3.9440769578663382E-2</v>
      </c>
    </row>
    <row r="843" spans="1:3" x14ac:dyDescent="0.25">
      <c r="A843" s="1">
        <v>43327</v>
      </c>
      <c r="B843" s="5">
        <v>2818.3701169999999</v>
      </c>
      <c r="C843" s="7">
        <f t="shared" si="29"/>
        <v>3.8675216084806882E-2</v>
      </c>
    </row>
    <row r="844" spans="1:3" x14ac:dyDescent="0.25">
      <c r="A844" s="1">
        <v>43328</v>
      </c>
      <c r="B844" s="5">
        <v>2840.6899410000001</v>
      </c>
      <c r="C844" s="7">
        <f t="shared" si="29"/>
        <v>4.2511090627101726E-2</v>
      </c>
    </row>
    <row r="845" spans="1:3" x14ac:dyDescent="0.25">
      <c r="A845" s="1">
        <v>43329</v>
      </c>
      <c r="B845" s="5">
        <v>2850.1298830000001</v>
      </c>
      <c r="C845" s="7">
        <f t="shared" si="29"/>
        <v>4.6684935953798912E-2</v>
      </c>
    </row>
    <row r="846" spans="1:3" x14ac:dyDescent="0.25">
      <c r="A846" s="1">
        <v>43332</v>
      </c>
      <c r="B846" s="5">
        <v>2857.0500489999999</v>
      </c>
      <c r="C846" s="7">
        <f t="shared" si="29"/>
        <v>5.1745676064351688E-2</v>
      </c>
    </row>
    <row r="847" spans="1:3" x14ac:dyDescent="0.25">
      <c r="A847" s="1">
        <v>43333</v>
      </c>
      <c r="B847" s="5">
        <v>2862.959961</v>
      </c>
      <c r="C847" s="7">
        <f t="shared" si="29"/>
        <v>4.6452471456388894E-2</v>
      </c>
    </row>
    <row r="848" spans="1:3" x14ac:dyDescent="0.25">
      <c r="A848" s="1">
        <v>43334</v>
      </c>
      <c r="B848" s="5">
        <v>2861.820068</v>
      </c>
      <c r="C848" s="7">
        <f t="shared" si="29"/>
        <v>4.9194929082484622E-2</v>
      </c>
    </row>
    <row r="849" spans="1:3" x14ac:dyDescent="0.25">
      <c r="A849" s="1">
        <v>43335</v>
      </c>
      <c r="B849" s="5">
        <v>2856.9799800000001</v>
      </c>
      <c r="C849" s="7">
        <f t="shared" si="29"/>
        <v>4.4259089787307589E-2</v>
      </c>
    </row>
    <row r="850" spans="1:3" x14ac:dyDescent="0.25">
      <c r="A850" s="1">
        <v>43336</v>
      </c>
      <c r="B850" s="5">
        <v>2874.6899410000001</v>
      </c>
      <c r="C850" s="7">
        <f t="shared" si="29"/>
        <v>5.2464058587279407E-2</v>
      </c>
    </row>
    <row r="851" spans="1:3" x14ac:dyDescent="0.25">
      <c r="A851" s="1">
        <v>43339</v>
      </c>
      <c r="B851" s="5">
        <v>2896.73999</v>
      </c>
      <c r="C851" s="7">
        <f t="shared" si="29"/>
        <v>6.2465203240841011E-2</v>
      </c>
    </row>
    <row r="852" spans="1:3" x14ac:dyDescent="0.25">
      <c r="A852" s="1">
        <v>43340</v>
      </c>
      <c r="B852" s="5">
        <v>2897.5200199999999</v>
      </c>
      <c r="C852" s="7">
        <f t="shared" si="29"/>
        <v>7.4366018183823338E-2</v>
      </c>
    </row>
    <row r="853" spans="1:3" x14ac:dyDescent="0.25">
      <c r="A853" s="1">
        <v>43341</v>
      </c>
      <c r="B853" s="5">
        <v>2914.040039</v>
      </c>
      <c r="C853" s="7">
        <f t="shared" si="29"/>
        <v>6.7435384874707377E-2</v>
      </c>
    </row>
    <row r="854" spans="1:3" x14ac:dyDescent="0.25">
      <c r="A854" s="1">
        <v>43342</v>
      </c>
      <c r="B854" s="5">
        <v>2901.1298830000001</v>
      </c>
      <c r="C854" s="7">
        <f t="shared" si="29"/>
        <v>6.9898546072528961E-2</v>
      </c>
    </row>
    <row r="855" spans="1:3" x14ac:dyDescent="0.25">
      <c r="A855" s="1">
        <v>43343</v>
      </c>
      <c r="B855" s="5">
        <v>2901.5200199999999</v>
      </c>
      <c r="C855" s="7">
        <f t="shared" si="29"/>
        <v>5.9242215169355551E-2</v>
      </c>
    </row>
    <row r="856" spans="1:3" x14ac:dyDescent="0.25">
      <c r="A856" s="1">
        <v>43347</v>
      </c>
      <c r="B856" s="5">
        <v>2896.719971</v>
      </c>
      <c r="C856" s="7">
        <f t="shared" si="29"/>
        <v>5.3116928162751771E-2</v>
      </c>
    </row>
    <row r="857" spans="1:3" x14ac:dyDescent="0.25">
      <c r="A857" s="1">
        <v>43348</v>
      </c>
      <c r="B857" s="5">
        <v>2888.6000979999999</v>
      </c>
      <c r="C857" s="7">
        <f t="shared" si="29"/>
        <v>4.9607518977638786E-2</v>
      </c>
    </row>
    <row r="858" spans="1:3" x14ac:dyDescent="0.25">
      <c r="A858" s="1">
        <v>43349</v>
      </c>
      <c r="B858" s="5">
        <v>2878.0500489999999</v>
      </c>
      <c r="C858" s="7">
        <f t="shared" si="29"/>
        <v>3.7417627182960739E-2</v>
      </c>
    </row>
    <row r="859" spans="1:3" x14ac:dyDescent="0.25">
      <c r="A859" s="1">
        <v>43350</v>
      </c>
      <c r="B859" s="5">
        <v>2871.679932</v>
      </c>
      <c r="C859" s="7">
        <f t="shared" si="29"/>
        <v>3.5916273167028868E-2</v>
      </c>
    </row>
    <row r="860" spans="1:3" x14ac:dyDescent="0.25">
      <c r="A860" s="1">
        <v>43353</v>
      </c>
      <c r="B860" s="5">
        <v>2877.1298830000001</v>
      </c>
      <c r="C860" s="7">
        <f t="shared" si="29"/>
        <v>3.4691272453141721E-2</v>
      </c>
    </row>
    <row r="861" spans="1:3" x14ac:dyDescent="0.25">
      <c r="A861" s="1">
        <v>43354</v>
      </c>
      <c r="B861" s="5">
        <v>2887.889893</v>
      </c>
      <c r="C861" s="7">
        <f t="shared" si="29"/>
        <v>3.735600111000522E-2</v>
      </c>
    </row>
    <row r="862" spans="1:3" x14ac:dyDescent="0.25">
      <c r="A862" s="1">
        <v>43355</v>
      </c>
      <c r="B862" s="5">
        <v>2888.919922</v>
      </c>
      <c r="C862" s="7">
        <f t="shared" si="29"/>
        <v>3.5970741955032429E-2</v>
      </c>
    </row>
    <row r="863" spans="1:3" x14ac:dyDescent="0.25">
      <c r="A863" s="1">
        <v>43356</v>
      </c>
      <c r="B863" s="5">
        <v>2904.179932</v>
      </c>
      <c r="C863" s="7">
        <f t="shared" si="29"/>
        <v>4.5273348792105213E-2</v>
      </c>
    </row>
    <row r="864" spans="1:3" x14ac:dyDescent="0.25">
      <c r="A864" s="1">
        <v>43357</v>
      </c>
      <c r="B864" s="5">
        <v>2904.9799800000001</v>
      </c>
      <c r="C864" s="7">
        <f t="shared" si="29"/>
        <v>4.3080292037047371E-2</v>
      </c>
    </row>
    <row r="865" spans="1:3" x14ac:dyDescent="0.25">
      <c r="A865" s="1">
        <v>43360</v>
      </c>
      <c r="B865" s="5">
        <v>2888.8000489999999</v>
      </c>
      <c r="C865" s="7">
        <f t="shared" si="29"/>
        <v>3.8512621536966302E-2</v>
      </c>
    </row>
    <row r="866" spans="1:3" x14ac:dyDescent="0.25">
      <c r="A866" s="1">
        <v>43361</v>
      </c>
      <c r="B866" s="5">
        <v>2904.3100589999999</v>
      </c>
      <c r="C866" s="7">
        <f t="shared" si="29"/>
        <v>4.5995665626511105E-2</v>
      </c>
    </row>
    <row r="867" spans="1:3" x14ac:dyDescent="0.25">
      <c r="A867" s="1">
        <v>43362</v>
      </c>
      <c r="B867" s="5">
        <v>2907.9499510000001</v>
      </c>
      <c r="C867" s="7">
        <f t="shared" si="29"/>
        <v>5.1279671372499488E-2</v>
      </c>
    </row>
    <row r="868" spans="1:3" x14ac:dyDescent="0.25">
      <c r="A868" s="1">
        <v>43363</v>
      </c>
      <c r="B868" s="5">
        <v>2930.75</v>
      </c>
      <c r="C868" s="7">
        <f t="shared" si="29"/>
        <v>5.7378995562276679E-2</v>
      </c>
    </row>
    <row r="869" spans="1:3" x14ac:dyDescent="0.25">
      <c r="A869" s="1">
        <v>43364</v>
      </c>
      <c r="B869" s="5">
        <v>2929.669922</v>
      </c>
      <c r="C869" s="7">
        <f t="shared" si="29"/>
        <v>6.3376123296058351E-2</v>
      </c>
    </row>
    <row r="870" spans="1:3" x14ac:dyDescent="0.25">
      <c r="A870" s="1">
        <v>43367</v>
      </c>
      <c r="B870" s="5">
        <v>2919.3701169999999</v>
      </c>
      <c r="C870" s="7">
        <f t="shared" si="29"/>
        <v>5.7994037637191069E-2</v>
      </c>
    </row>
    <row r="871" spans="1:3" x14ac:dyDescent="0.25">
      <c r="A871" s="1">
        <v>43368</v>
      </c>
      <c r="B871" s="5">
        <v>2915.5600589999999</v>
      </c>
      <c r="C871" s="7">
        <f t="shared" si="29"/>
        <v>7.0507812515735124E-2</v>
      </c>
    </row>
    <row r="872" spans="1:3" x14ac:dyDescent="0.25">
      <c r="A872" s="1">
        <v>43369</v>
      </c>
      <c r="B872" s="5">
        <v>2905.969971</v>
      </c>
      <c r="C872" s="7">
        <f t="shared" si="29"/>
        <v>6.5010962010245962E-2</v>
      </c>
    </row>
    <row r="873" spans="1:3" x14ac:dyDescent="0.25">
      <c r="A873" s="1">
        <v>43370</v>
      </c>
      <c r="B873" s="5">
        <v>2914</v>
      </c>
      <c r="C873" s="7">
        <f t="shared" si="29"/>
        <v>7.6412024529472752E-2</v>
      </c>
    </row>
    <row r="874" spans="1:3" x14ac:dyDescent="0.25">
      <c r="A874" s="1">
        <v>43371</v>
      </c>
      <c r="B874" s="5">
        <v>2913.9799800000001</v>
      </c>
      <c r="C874" s="7">
        <f t="shared" si="29"/>
        <v>7.0245474125335189E-2</v>
      </c>
    </row>
    <row r="875" spans="1:3" x14ac:dyDescent="0.25">
      <c r="A875" s="1">
        <v>43374</v>
      </c>
      <c r="B875" s="5">
        <v>2924.5900879999999</v>
      </c>
      <c r="C875" s="7">
        <f t="shared" si="29"/>
        <v>7.3121850996812357E-2</v>
      </c>
    </row>
    <row r="876" spans="1:3" x14ac:dyDescent="0.25">
      <c r="A876" s="1">
        <v>43375</v>
      </c>
      <c r="B876" s="5">
        <v>2923.429932</v>
      </c>
      <c r="C876" s="7">
        <f t="shared" si="29"/>
        <v>6.9661821245874098E-2</v>
      </c>
    </row>
    <row r="877" spans="1:3" x14ac:dyDescent="0.25">
      <c r="A877" s="1">
        <v>43376</v>
      </c>
      <c r="B877" s="5">
        <v>2925.51001</v>
      </c>
      <c r="C877" s="7">
        <f t="shared" si="29"/>
        <v>7.5332717133814564E-2</v>
      </c>
    </row>
    <row r="878" spans="1:3" x14ac:dyDescent="0.25">
      <c r="A878" s="1">
        <v>43377</v>
      </c>
      <c r="B878" s="5">
        <v>2901.610107</v>
      </c>
      <c r="C878" s="7">
        <f t="shared" si="29"/>
        <v>5.8545825005336921E-2</v>
      </c>
    </row>
    <row r="879" spans="1:3" x14ac:dyDescent="0.25">
      <c r="A879" s="1">
        <v>43378</v>
      </c>
      <c r="B879" s="5">
        <v>2885.570068</v>
      </c>
      <c r="C879" s="7">
        <f t="shared" si="29"/>
        <v>4.4556992817043117E-2</v>
      </c>
    </row>
    <row r="880" spans="1:3" x14ac:dyDescent="0.25">
      <c r="A880" s="1">
        <v>43381</v>
      </c>
      <c r="B880" s="5">
        <v>2884.429932</v>
      </c>
      <c r="C880" s="7">
        <f t="shared" si="29"/>
        <v>3.5377507397371721E-2</v>
      </c>
    </row>
    <row r="881" spans="1:3" x14ac:dyDescent="0.25">
      <c r="A881" s="1">
        <v>43382</v>
      </c>
      <c r="B881" s="5">
        <v>2880.3400879999999</v>
      </c>
      <c r="C881" s="7">
        <f t="shared" si="29"/>
        <v>3.0491348163525337E-2</v>
      </c>
    </row>
    <row r="882" spans="1:3" x14ac:dyDescent="0.25">
      <c r="A882" s="1">
        <v>43383</v>
      </c>
      <c r="B882" s="5">
        <v>2785.679932</v>
      </c>
      <c r="C882" s="7">
        <f t="shared" si="29"/>
        <v>4.1944454540448848E-3</v>
      </c>
    </row>
    <row r="883" spans="1:3" x14ac:dyDescent="0.25">
      <c r="A883" s="1">
        <v>43384</v>
      </c>
      <c r="B883" s="5">
        <v>2728.3701169999999</v>
      </c>
      <c r="C883" s="7">
        <f t="shared" si="29"/>
        <v>-2.5304126105085454E-2</v>
      </c>
    </row>
    <row r="884" spans="1:3" x14ac:dyDescent="0.25">
      <c r="A884" s="1">
        <v>43385</v>
      </c>
      <c r="B884" s="5">
        <v>2767.1298830000001</v>
      </c>
      <c r="C884" s="7">
        <f t="shared" si="29"/>
        <v>-1.2276546264192074E-2</v>
      </c>
    </row>
    <row r="885" spans="1:3" x14ac:dyDescent="0.25">
      <c r="A885" s="1">
        <v>43388</v>
      </c>
      <c r="B885" s="5">
        <v>2750.790039</v>
      </c>
      <c r="C885" s="7">
        <f t="shared" si="29"/>
        <v>-1.7170364008472942E-2</v>
      </c>
    </row>
    <row r="886" spans="1:3" x14ac:dyDescent="0.25">
      <c r="A886" s="1">
        <v>43389</v>
      </c>
      <c r="B886" s="5">
        <v>2809.919922</v>
      </c>
      <c r="C886" s="7">
        <f t="shared" si="29"/>
        <v>1.3163981743584294E-4</v>
      </c>
    </row>
    <row r="887" spans="1:3" x14ac:dyDescent="0.25">
      <c r="A887" s="1">
        <v>43390</v>
      </c>
      <c r="B887" s="5">
        <v>2809.209961</v>
      </c>
      <c r="C887" s="7">
        <f t="shared" si="29"/>
        <v>-2.2792364164354972E-3</v>
      </c>
    </row>
    <row r="888" spans="1:3" x14ac:dyDescent="0.25">
      <c r="A888" s="1">
        <v>43391</v>
      </c>
      <c r="B888" s="5">
        <v>2768.780029</v>
      </c>
      <c r="C888" s="7">
        <f t="shared" si="29"/>
        <v>-1.2814900255219162E-2</v>
      </c>
    </row>
    <row r="889" spans="1:3" x14ac:dyDescent="0.25">
      <c r="A889" s="1">
        <v>43392</v>
      </c>
      <c r="B889" s="5">
        <v>2767.780029</v>
      </c>
      <c r="C889" s="7">
        <f t="shared" si="29"/>
        <v>-1.2227237658220421E-2</v>
      </c>
    </row>
    <row r="890" spans="1:3" x14ac:dyDescent="0.25">
      <c r="A890" s="1">
        <v>43395</v>
      </c>
      <c r="B890" s="5">
        <v>2755.8798830000001</v>
      </c>
      <c r="C890" s="7">
        <f t="shared" si="29"/>
        <v>-1.8372396800251586E-2</v>
      </c>
    </row>
    <row r="891" spans="1:3" x14ac:dyDescent="0.25">
      <c r="A891" s="1">
        <v>43396</v>
      </c>
      <c r="B891" s="5">
        <v>2740.6899410000001</v>
      </c>
      <c r="C891" s="7">
        <f t="shared" si="29"/>
        <v>-2.8668992128379339E-2</v>
      </c>
    </row>
    <row r="892" spans="1:3" x14ac:dyDescent="0.25">
      <c r="A892" s="1">
        <v>43397</v>
      </c>
      <c r="B892" s="5">
        <v>2656.1000979999999</v>
      </c>
      <c r="C892" s="7">
        <f t="shared" si="29"/>
        <v>-6.9080200777853984E-2</v>
      </c>
    </row>
    <row r="893" spans="1:3" x14ac:dyDescent="0.25">
      <c r="A893" s="1">
        <v>43398</v>
      </c>
      <c r="B893" s="5">
        <v>2705.570068</v>
      </c>
      <c r="C893" s="7">
        <f t="shared" si="29"/>
        <v>-4.7589580295615025E-2</v>
      </c>
    </row>
    <row r="894" spans="1:3" x14ac:dyDescent="0.25">
      <c r="A894" s="1">
        <v>43399</v>
      </c>
      <c r="B894" s="5">
        <v>2658.6899410000001</v>
      </c>
      <c r="C894" s="7">
        <f t="shared" si="29"/>
        <v>-5.8484883696429214E-2</v>
      </c>
    </row>
    <row r="895" spans="1:3" x14ac:dyDescent="0.25">
      <c r="A895" s="1">
        <v>43402</v>
      </c>
      <c r="B895" s="5">
        <v>2641.25</v>
      </c>
      <c r="C895" s="7">
        <f t="shared" si="29"/>
        <v>-5.9295302773380347E-2</v>
      </c>
    </row>
    <row r="896" spans="1:3" x14ac:dyDescent="0.25">
      <c r="A896" s="1">
        <v>43403</v>
      </c>
      <c r="B896" s="5">
        <v>2682.6298830000001</v>
      </c>
      <c r="C896" s="7">
        <f t="shared" si="29"/>
        <v>-4.8622816806065575E-2</v>
      </c>
    </row>
    <row r="897" spans="1:3" x14ac:dyDescent="0.25">
      <c r="A897" s="1">
        <v>43404</v>
      </c>
      <c r="B897" s="5">
        <v>2711.73999</v>
      </c>
      <c r="C897" s="7">
        <f t="shared" si="29"/>
        <v>-3.6789045012485255E-2</v>
      </c>
    </row>
    <row r="898" spans="1:3" x14ac:dyDescent="0.25">
      <c r="A898" s="1">
        <v>43405</v>
      </c>
      <c r="B898" s="5">
        <v>2740.3701169999999</v>
      </c>
      <c r="C898" s="7">
        <f t="shared" si="29"/>
        <v>-3.1200895963116686E-2</v>
      </c>
    </row>
    <row r="899" spans="1:3" x14ac:dyDescent="0.25">
      <c r="A899" s="1">
        <v>43406</v>
      </c>
      <c r="B899" s="5">
        <v>2723.0600589999999</v>
      </c>
      <c r="C899" s="7">
        <f t="shared" ref="C899:C962" si="30">LN(B899/B835)</f>
        <v>-4.2171048882752131E-2</v>
      </c>
    </row>
    <row r="900" spans="1:3" x14ac:dyDescent="0.25">
      <c r="A900" s="1">
        <v>43409</v>
      </c>
      <c r="B900" s="5">
        <v>2738.3100589999999</v>
      </c>
      <c r="C900" s="7">
        <f t="shared" si="30"/>
        <v>-4.011833759556966E-2</v>
      </c>
    </row>
    <row r="901" spans="1:3" x14ac:dyDescent="0.25">
      <c r="A901" s="1">
        <v>43410</v>
      </c>
      <c r="B901" s="5">
        <v>2755.4499510000001</v>
      </c>
      <c r="C901" s="7">
        <f t="shared" si="30"/>
        <v>-3.6698751868849362E-2</v>
      </c>
    </row>
    <row r="902" spans="1:3" x14ac:dyDescent="0.25">
      <c r="A902" s="1">
        <v>43411</v>
      </c>
      <c r="B902" s="5">
        <v>2813.889893</v>
      </c>
      <c r="C902" s="7">
        <f t="shared" si="30"/>
        <v>-1.5449258702462294E-2</v>
      </c>
    </row>
    <row r="903" spans="1:3" x14ac:dyDescent="0.25">
      <c r="A903" s="1">
        <v>43412</v>
      </c>
      <c r="B903" s="5">
        <v>2806.830078</v>
      </c>
      <c r="C903" s="7">
        <f t="shared" si="30"/>
        <v>-1.6518613224713864E-2</v>
      </c>
    </row>
    <row r="904" spans="1:3" x14ac:dyDescent="0.25">
      <c r="A904" s="1">
        <v>43413</v>
      </c>
      <c r="B904" s="5">
        <v>2781.01001</v>
      </c>
      <c r="C904" s="7">
        <f t="shared" si="30"/>
        <v>-1.8620886687053903E-2</v>
      </c>
    </row>
    <row r="905" spans="1:3" x14ac:dyDescent="0.25">
      <c r="A905" s="1">
        <v>43416</v>
      </c>
      <c r="B905" s="5">
        <v>2726.219971</v>
      </c>
      <c r="C905" s="7">
        <f t="shared" si="30"/>
        <v>-3.4505000214054088E-2</v>
      </c>
    </row>
    <row r="906" spans="1:3" x14ac:dyDescent="0.25">
      <c r="A906" s="1">
        <v>43417</v>
      </c>
      <c r="B906" s="5">
        <v>2722.179932</v>
      </c>
      <c r="C906" s="7">
        <f t="shared" si="30"/>
        <v>-4.2356948924180716E-2</v>
      </c>
    </row>
    <row r="907" spans="1:3" x14ac:dyDescent="0.25">
      <c r="A907" s="1">
        <v>43418</v>
      </c>
      <c r="B907" s="5">
        <v>2701.580078</v>
      </c>
      <c r="C907" s="7">
        <f t="shared" si="30"/>
        <v>-4.2321929251003906E-2</v>
      </c>
    </row>
    <row r="908" spans="1:3" x14ac:dyDescent="0.25">
      <c r="A908" s="1">
        <v>43419</v>
      </c>
      <c r="B908" s="5">
        <v>2730.1999510000001</v>
      </c>
      <c r="C908" s="7">
        <f t="shared" si="30"/>
        <v>-3.9672111001200903E-2</v>
      </c>
    </row>
    <row r="909" spans="1:3" x14ac:dyDescent="0.25">
      <c r="A909" s="1">
        <v>43420</v>
      </c>
      <c r="B909" s="5">
        <v>2736.2700199999999</v>
      </c>
      <c r="C909" s="7">
        <f t="shared" si="30"/>
        <v>-4.0768879813514361E-2</v>
      </c>
    </row>
    <row r="910" spans="1:3" x14ac:dyDescent="0.25">
      <c r="A910" s="1">
        <v>43423</v>
      </c>
      <c r="B910" s="5">
        <v>2690.7299800000001</v>
      </c>
      <c r="C910" s="7">
        <f t="shared" si="30"/>
        <v>-5.9977116291254837E-2</v>
      </c>
    </row>
    <row r="911" spans="1:3" x14ac:dyDescent="0.25">
      <c r="A911" s="1">
        <v>43424</v>
      </c>
      <c r="B911" s="5">
        <v>2641.889893</v>
      </c>
      <c r="C911" s="7">
        <f t="shared" si="30"/>
        <v>-8.0361511430244087E-2</v>
      </c>
    </row>
    <row r="912" spans="1:3" x14ac:dyDescent="0.25">
      <c r="A912" s="1">
        <v>43425</v>
      </c>
      <c r="B912" s="5">
        <v>2649.929932</v>
      </c>
      <c r="C912" s="7">
        <f t="shared" si="30"/>
        <v>-7.6924610941897162E-2</v>
      </c>
    </row>
    <row r="913" spans="1:3" x14ac:dyDescent="0.25">
      <c r="A913" s="1">
        <v>43427</v>
      </c>
      <c r="B913" s="5">
        <v>2632.5600589999999</v>
      </c>
      <c r="C913" s="7">
        <f t="shared" si="30"/>
        <v>-8.1808336673020982E-2</v>
      </c>
    </row>
    <row r="914" spans="1:3" x14ac:dyDescent="0.25">
      <c r="A914" s="1">
        <v>43430</v>
      </c>
      <c r="B914" s="5">
        <v>2673.4499510000001</v>
      </c>
      <c r="C914" s="7">
        <f t="shared" si="30"/>
        <v>-7.2575066997299015E-2</v>
      </c>
    </row>
    <row r="915" spans="1:3" x14ac:dyDescent="0.25">
      <c r="A915" s="1">
        <v>43431</v>
      </c>
      <c r="B915" s="5">
        <v>2682.169922</v>
      </c>
      <c r="C915" s="7">
        <f t="shared" si="30"/>
        <v>-7.6959823989312823E-2</v>
      </c>
    </row>
    <row r="916" spans="1:3" x14ac:dyDescent="0.25">
      <c r="A916" s="1">
        <v>43432</v>
      </c>
      <c r="B916" s="5">
        <v>2743.790039</v>
      </c>
      <c r="C916" s="7">
        <f t="shared" si="30"/>
        <v>-5.4515015075866202E-2</v>
      </c>
    </row>
    <row r="917" spans="1:3" x14ac:dyDescent="0.25">
      <c r="A917" s="1">
        <v>43433</v>
      </c>
      <c r="B917" s="5">
        <v>2737.8000489999999</v>
      </c>
      <c r="C917" s="7">
        <f t="shared" si="30"/>
        <v>-6.2385751821389883E-2</v>
      </c>
    </row>
    <row r="918" spans="1:3" x14ac:dyDescent="0.25">
      <c r="A918" s="1">
        <v>43434</v>
      </c>
      <c r="B918" s="5">
        <v>2760.169922</v>
      </c>
      <c r="C918" s="7">
        <f t="shared" si="30"/>
        <v>-4.9808032163883485E-2</v>
      </c>
    </row>
    <row r="919" spans="1:3" x14ac:dyDescent="0.25">
      <c r="A919" s="1">
        <v>43437</v>
      </c>
      <c r="B919" s="5">
        <v>2790.3701169999999</v>
      </c>
      <c r="C919" s="7">
        <f t="shared" si="30"/>
        <v>-3.9060499046231746E-2</v>
      </c>
    </row>
    <row r="920" spans="1:3" x14ac:dyDescent="0.25">
      <c r="A920" s="1">
        <v>43438</v>
      </c>
      <c r="B920" s="5">
        <v>2700.0600589999999</v>
      </c>
      <c r="C920" s="7">
        <f t="shared" si="30"/>
        <v>-7.0305035559186949E-2</v>
      </c>
    </row>
    <row r="921" spans="1:3" x14ac:dyDescent="0.25">
      <c r="A921" s="1">
        <v>43440</v>
      </c>
      <c r="B921" s="5">
        <v>2695.9499510000001</v>
      </c>
      <c r="C921" s="7">
        <f t="shared" si="30"/>
        <v>-6.9021360902793483E-2</v>
      </c>
    </row>
    <row r="922" spans="1:3" x14ac:dyDescent="0.25">
      <c r="A922" s="1">
        <v>43441</v>
      </c>
      <c r="B922" s="5">
        <v>2633.080078</v>
      </c>
      <c r="C922" s="7">
        <f t="shared" si="30"/>
        <v>-8.8958705246934319E-2</v>
      </c>
    </row>
    <row r="923" spans="1:3" x14ac:dyDescent="0.25">
      <c r="A923" s="1">
        <v>43444</v>
      </c>
      <c r="B923" s="5">
        <v>2637.719971</v>
      </c>
      <c r="C923" s="7">
        <f t="shared" si="30"/>
        <v>-8.4982304034406125E-2</v>
      </c>
    </row>
    <row r="924" spans="1:3" x14ac:dyDescent="0.25">
      <c r="A924" s="1">
        <v>43445</v>
      </c>
      <c r="B924" s="5">
        <v>2636.780029</v>
      </c>
      <c r="C924" s="7">
        <f t="shared" si="30"/>
        <v>-8.7234742089569509E-2</v>
      </c>
    </row>
    <row r="925" spans="1:3" x14ac:dyDescent="0.25">
      <c r="A925" s="1">
        <v>43446</v>
      </c>
      <c r="B925" s="5">
        <v>2651.070068</v>
      </c>
      <c r="C925" s="7">
        <f t="shared" si="30"/>
        <v>-8.5562736872817333E-2</v>
      </c>
    </row>
    <row r="926" spans="1:3" x14ac:dyDescent="0.25">
      <c r="A926" s="1">
        <v>43447</v>
      </c>
      <c r="B926" s="5">
        <v>2650.540039</v>
      </c>
      <c r="C926" s="7">
        <f t="shared" si="30"/>
        <v>-8.6119295320332218E-2</v>
      </c>
    </row>
    <row r="927" spans="1:3" x14ac:dyDescent="0.25">
      <c r="A927" s="1">
        <v>43448</v>
      </c>
      <c r="B927" s="5">
        <v>2599.9499510000001</v>
      </c>
      <c r="C927" s="7">
        <f t="shared" si="30"/>
        <v>-0.11065885987142556</v>
      </c>
    </row>
    <row r="928" spans="1:3" x14ac:dyDescent="0.25">
      <c r="A928" s="1">
        <v>43451</v>
      </c>
      <c r="B928" s="5">
        <v>2545.9399410000001</v>
      </c>
      <c r="C928" s="7">
        <f t="shared" si="30"/>
        <v>-0.13192658840912447</v>
      </c>
    </row>
    <row r="929" spans="1:3" x14ac:dyDescent="0.25">
      <c r="A929" s="1">
        <v>43452</v>
      </c>
      <c r="B929" s="5">
        <v>2546.1599120000001</v>
      </c>
      <c r="C929" s="7">
        <f t="shared" si="30"/>
        <v>-0.12625490066803294</v>
      </c>
    </row>
    <row r="930" spans="1:3" x14ac:dyDescent="0.25">
      <c r="A930" s="1">
        <v>43453</v>
      </c>
      <c r="B930" s="5">
        <v>2506.959961</v>
      </c>
      <c r="C930" s="7">
        <f t="shared" si="30"/>
        <v>-0.14712501272408898</v>
      </c>
    </row>
    <row r="931" spans="1:3" x14ac:dyDescent="0.25">
      <c r="A931" s="1">
        <v>43454</v>
      </c>
      <c r="B931" s="5">
        <v>2467.419922</v>
      </c>
      <c r="C931" s="7">
        <f t="shared" si="30"/>
        <v>-0.1642753100166518</v>
      </c>
    </row>
    <row r="932" spans="1:3" x14ac:dyDescent="0.25">
      <c r="A932" s="1">
        <v>43455</v>
      </c>
      <c r="B932" s="5">
        <v>2416.6201169999999</v>
      </c>
      <c r="C932" s="7">
        <f t="shared" si="30"/>
        <v>-0.19288844488787477</v>
      </c>
    </row>
    <row r="933" spans="1:3" x14ac:dyDescent="0.25">
      <c r="A933" s="1">
        <v>43458</v>
      </c>
      <c r="B933" s="5">
        <v>2351.1000979999999</v>
      </c>
      <c r="C933" s="7">
        <f t="shared" si="30"/>
        <v>-0.22000641664805315</v>
      </c>
    </row>
    <row r="934" spans="1:3" x14ac:dyDescent="0.25">
      <c r="A934" s="1">
        <v>43460</v>
      </c>
      <c r="B934" s="5">
        <v>2467.6999510000001</v>
      </c>
      <c r="C934" s="7">
        <f t="shared" si="30"/>
        <v>-0.16808135677219924</v>
      </c>
    </row>
    <row r="935" spans="1:3" x14ac:dyDescent="0.25">
      <c r="A935" s="1">
        <v>43461</v>
      </c>
      <c r="B935" s="5">
        <v>2488.830078</v>
      </c>
      <c r="C935" s="7">
        <f t="shared" si="30"/>
        <v>-0.1582491794944037</v>
      </c>
    </row>
    <row r="936" spans="1:3" x14ac:dyDescent="0.25">
      <c r="A936" s="1">
        <v>43462</v>
      </c>
      <c r="B936" s="5">
        <v>2485.73999</v>
      </c>
      <c r="C936" s="7">
        <f t="shared" si="30"/>
        <v>-0.15619683373036022</v>
      </c>
    </row>
    <row r="937" spans="1:3" x14ac:dyDescent="0.25">
      <c r="A937" s="1">
        <v>43465</v>
      </c>
      <c r="B937" s="5">
        <v>2506.8500979999999</v>
      </c>
      <c r="C937" s="7">
        <f t="shared" si="30"/>
        <v>-0.15049968376309217</v>
      </c>
    </row>
    <row r="938" spans="1:3" x14ac:dyDescent="0.25">
      <c r="A938" s="1">
        <v>43467</v>
      </c>
      <c r="B938" s="5">
        <v>2510.030029</v>
      </c>
      <c r="C938" s="7">
        <f t="shared" si="30"/>
        <v>-0.1492251206508651</v>
      </c>
    </row>
    <row r="939" spans="1:3" x14ac:dyDescent="0.25">
      <c r="A939" s="1">
        <v>43468</v>
      </c>
      <c r="B939" s="5">
        <v>2447.889893</v>
      </c>
      <c r="C939" s="7">
        <f t="shared" si="30"/>
        <v>-0.17792794471962164</v>
      </c>
    </row>
    <row r="940" spans="1:3" x14ac:dyDescent="0.25">
      <c r="A940" s="1">
        <v>43469</v>
      </c>
      <c r="B940" s="5">
        <v>2531.9399410000001</v>
      </c>
      <c r="C940" s="7">
        <f t="shared" si="30"/>
        <v>-0.14377177716731937</v>
      </c>
    </row>
    <row r="941" spans="1:3" x14ac:dyDescent="0.25">
      <c r="A941" s="1">
        <v>43472</v>
      </c>
      <c r="B941" s="5">
        <v>2549.6899410000001</v>
      </c>
      <c r="C941" s="7">
        <f t="shared" si="30"/>
        <v>-0.13749706786487592</v>
      </c>
    </row>
    <row r="942" spans="1:3" x14ac:dyDescent="0.25">
      <c r="A942" s="1">
        <v>43473</v>
      </c>
      <c r="B942" s="5">
        <v>2574.4099120000001</v>
      </c>
      <c r="C942" s="7">
        <f t="shared" si="30"/>
        <v>-0.11964544476501331</v>
      </c>
    </row>
    <row r="943" spans="1:3" x14ac:dyDescent="0.25">
      <c r="A943" s="1">
        <v>43474</v>
      </c>
      <c r="B943" s="5">
        <v>2584.959961</v>
      </c>
      <c r="C943" s="7">
        <f t="shared" si="30"/>
        <v>-0.11001245880175646</v>
      </c>
    </row>
    <row r="944" spans="1:3" x14ac:dyDescent="0.25">
      <c r="A944" s="1">
        <v>43475</v>
      </c>
      <c r="B944" s="5">
        <v>2596.639893</v>
      </c>
      <c r="C944" s="7">
        <f t="shared" si="30"/>
        <v>-0.10510902282978681</v>
      </c>
    </row>
    <row r="945" spans="1:3" x14ac:dyDescent="0.25">
      <c r="A945" s="1">
        <v>43476</v>
      </c>
      <c r="B945" s="5">
        <v>2596.26001</v>
      </c>
      <c r="C945" s="7">
        <f t="shared" si="30"/>
        <v>-0.10383642152569218</v>
      </c>
    </row>
    <row r="946" spans="1:3" x14ac:dyDescent="0.25">
      <c r="A946" s="1">
        <v>43479</v>
      </c>
      <c r="B946" s="5">
        <v>2582.610107</v>
      </c>
      <c r="C946" s="7">
        <f t="shared" si="30"/>
        <v>-7.5691427415001067E-2</v>
      </c>
    </row>
    <row r="947" spans="1:3" x14ac:dyDescent="0.25">
      <c r="A947" s="1">
        <v>43480</v>
      </c>
      <c r="B947" s="5">
        <v>2610.3000489999999</v>
      </c>
      <c r="C947" s="7">
        <f t="shared" si="30"/>
        <v>-4.423922813577099E-2</v>
      </c>
    </row>
    <row r="948" spans="1:3" x14ac:dyDescent="0.25">
      <c r="A948" s="1">
        <v>43481</v>
      </c>
      <c r="B948" s="5">
        <v>2616.1000979999999</v>
      </c>
      <c r="C948" s="7">
        <f t="shared" si="30"/>
        <v>-5.6125943085988138E-2</v>
      </c>
    </row>
    <row r="949" spans="1:3" x14ac:dyDescent="0.25">
      <c r="A949" s="1">
        <v>43482</v>
      </c>
      <c r="B949" s="5">
        <v>2635.959961</v>
      </c>
      <c r="C949" s="7">
        <f t="shared" si="30"/>
        <v>-4.2640730105659184E-2</v>
      </c>
    </row>
    <row r="950" spans="1:3" x14ac:dyDescent="0.25">
      <c r="A950" s="1">
        <v>43483</v>
      </c>
      <c r="B950" s="5">
        <v>2670.709961</v>
      </c>
      <c r="C950" s="7">
        <f t="shared" si="30"/>
        <v>-5.0811645368219117E-2</v>
      </c>
    </row>
    <row r="951" spans="1:3" x14ac:dyDescent="0.25">
      <c r="A951" s="1">
        <v>43487</v>
      </c>
      <c r="B951" s="5">
        <v>2632.8999020000001</v>
      </c>
      <c r="C951" s="7">
        <f t="shared" si="30"/>
        <v>-6.4817428065251176E-2</v>
      </c>
    </row>
    <row r="952" spans="1:3" x14ac:dyDescent="0.25">
      <c r="A952" s="1">
        <v>43488</v>
      </c>
      <c r="B952" s="5">
        <v>2638.6999510000001</v>
      </c>
      <c r="C952" s="7">
        <f t="shared" si="30"/>
        <v>-4.8120447375565319E-2</v>
      </c>
    </row>
    <row r="953" spans="1:3" x14ac:dyDescent="0.25">
      <c r="A953" s="1">
        <v>43489</v>
      </c>
      <c r="B953" s="5">
        <v>2642.330078</v>
      </c>
      <c r="C953" s="7">
        <f t="shared" si="30"/>
        <v>-4.6384432111440284E-2</v>
      </c>
    </row>
    <row r="954" spans="1:3" x14ac:dyDescent="0.25">
      <c r="A954" s="1">
        <v>43490</v>
      </c>
      <c r="B954" s="5">
        <v>2664.76001</v>
      </c>
      <c r="C954" s="7">
        <f t="shared" si="30"/>
        <v>-3.3622767354481657E-2</v>
      </c>
    </row>
    <row r="955" spans="1:3" x14ac:dyDescent="0.25">
      <c r="A955" s="1">
        <v>43493</v>
      </c>
      <c r="B955" s="5">
        <v>2643.8500979999999</v>
      </c>
      <c r="C955" s="7">
        <f t="shared" si="30"/>
        <v>-3.5973466764165837E-2</v>
      </c>
    </row>
    <row r="956" spans="1:3" x14ac:dyDescent="0.25">
      <c r="A956" s="1">
        <v>43494</v>
      </c>
      <c r="B956" s="5">
        <v>2640</v>
      </c>
      <c r="C956" s="7">
        <f t="shared" si="30"/>
        <v>-6.0800012458065789E-3</v>
      </c>
    </row>
    <row r="957" spans="1:3" x14ac:dyDescent="0.25">
      <c r="A957" s="1">
        <v>43495</v>
      </c>
      <c r="B957" s="5">
        <v>2681.0500489999999</v>
      </c>
      <c r="C957" s="7">
        <f t="shared" si="30"/>
        <v>-9.1041090066064333E-3</v>
      </c>
    </row>
    <row r="958" spans="1:3" x14ac:dyDescent="0.25">
      <c r="A958" s="1">
        <v>43496</v>
      </c>
      <c r="B958" s="5">
        <v>2704.1000979999999</v>
      </c>
      <c r="C958" s="7">
        <f t="shared" si="30"/>
        <v>1.6935677896151951E-2</v>
      </c>
    </row>
    <row r="959" spans="1:3" x14ac:dyDescent="0.25">
      <c r="A959" s="1">
        <v>43497</v>
      </c>
      <c r="B959" s="5">
        <v>2706.530029</v>
      </c>
      <c r="C959" s="7">
        <f t="shared" si="30"/>
        <v>2.4415092386542041E-2</v>
      </c>
    </row>
    <row r="960" spans="1:3" x14ac:dyDescent="0.25">
      <c r="A960" s="1">
        <v>43500</v>
      </c>
      <c r="B960" s="5">
        <v>2724.8701169999999</v>
      </c>
      <c r="C960" s="7">
        <f t="shared" si="30"/>
        <v>1.5623150503127764E-2</v>
      </c>
    </row>
    <row r="961" spans="1:3" x14ac:dyDescent="0.25">
      <c r="A961" s="1">
        <v>43501</v>
      </c>
      <c r="B961" s="5">
        <v>2737.6999510000001</v>
      </c>
      <c r="C961" s="7">
        <f t="shared" si="30"/>
        <v>9.5276423482605951E-3</v>
      </c>
    </row>
    <row r="962" spans="1:3" x14ac:dyDescent="0.25">
      <c r="A962" s="1">
        <v>43502</v>
      </c>
      <c r="B962" s="5">
        <v>2731.610107</v>
      </c>
      <c r="C962" s="7">
        <f t="shared" si="30"/>
        <v>-3.2017723474469339E-3</v>
      </c>
    </row>
    <row r="963" spans="1:3" x14ac:dyDescent="0.25">
      <c r="A963" s="1">
        <v>43503</v>
      </c>
      <c r="B963" s="5">
        <v>2706.0500489999999</v>
      </c>
      <c r="C963" s="7">
        <f t="shared" ref="C963:C1026" si="31">LN(B963/B899)</f>
        <v>-6.2662444934506465E-3</v>
      </c>
    </row>
    <row r="964" spans="1:3" x14ac:dyDescent="0.25">
      <c r="A964" s="1">
        <v>43504</v>
      </c>
      <c r="B964" s="5">
        <v>2707.8798830000001</v>
      </c>
      <c r="C964" s="7">
        <f t="shared" si="31"/>
        <v>-1.1174965618074021E-2</v>
      </c>
    </row>
    <row r="965" spans="1:3" x14ac:dyDescent="0.25">
      <c r="A965" s="1">
        <v>43507</v>
      </c>
      <c r="B965" s="5">
        <v>2709.8000489999999</v>
      </c>
      <c r="C965" s="7">
        <f t="shared" si="31"/>
        <v>-1.6705901353745133E-2</v>
      </c>
    </row>
    <row r="966" spans="1:3" x14ac:dyDescent="0.25">
      <c r="A966" s="1">
        <v>43508</v>
      </c>
      <c r="B966" s="5">
        <v>2744.7299800000001</v>
      </c>
      <c r="C966" s="7">
        <f t="shared" si="31"/>
        <v>-2.4885127458191693E-2</v>
      </c>
    </row>
    <row r="967" spans="1:3" x14ac:dyDescent="0.25">
      <c r="A967" s="1">
        <v>43509</v>
      </c>
      <c r="B967" s="5">
        <v>2753.030029</v>
      </c>
      <c r="C967" s="7">
        <f t="shared" si="31"/>
        <v>-1.935362661858309E-2</v>
      </c>
    </row>
    <row r="968" spans="1:3" x14ac:dyDescent="0.25">
      <c r="A968" s="1">
        <v>43510</v>
      </c>
      <c r="B968" s="5">
        <v>2745.7299800000001</v>
      </c>
      <c r="C968" s="7">
        <f t="shared" si="31"/>
        <v>-1.2767204278604253E-2</v>
      </c>
    </row>
    <row r="969" spans="1:3" x14ac:dyDescent="0.25">
      <c r="A969" s="1">
        <v>43511</v>
      </c>
      <c r="B969" s="5">
        <v>2775.6000979999999</v>
      </c>
      <c r="C969" s="7">
        <f t="shared" si="31"/>
        <v>1.7950951641768347E-2</v>
      </c>
    </row>
    <row r="970" spans="1:3" x14ac:dyDescent="0.25">
      <c r="A970" s="1">
        <v>43515</v>
      </c>
      <c r="B970" s="5">
        <v>2779.76001</v>
      </c>
      <c r="C970" s="7">
        <f t="shared" si="31"/>
        <v>2.0931591727880793E-2</v>
      </c>
    </row>
    <row r="971" spans="1:3" x14ac:dyDescent="0.25">
      <c r="A971" s="1">
        <v>43516</v>
      </c>
      <c r="B971" s="5">
        <v>2784.6999510000001</v>
      </c>
      <c r="C971" s="7">
        <f t="shared" si="31"/>
        <v>3.030331413932286E-2</v>
      </c>
    </row>
    <row r="972" spans="1:3" x14ac:dyDescent="0.25">
      <c r="A972" s="1">
        <v>43517</v>
      </c>
      <c r="B972" s="5">
        <v>2774.8798830000001</v>
      </c>
      <c r="C972" s="7">
        <f t="shared" si="31"/>
        <v>1.6232612216815233E-2</v>
      </c>
    </row>
    <row r="973" spans="1:3" x14ac:dyDescent="0.25">
      <c r="A973" s="1">
        <v>43518</v>
      </c>
      <c r="B973" s="5">
        <v>2792.669922</v>
      </c>
      <c r="C973" s="7">
        <f t="shared" si="31"/>
        <v>2.0402413116968058E-2</v>
      </c>
    </row>
    <row r="974" spans="1:3" x14ac:dyDescent="0.25">
      <c r="A974" s="1">
        <v>43521</v>
      </c>
      <c r="B974" s="5">
        <v>2796.110107</v>
      </c>
      <c r="C974" s="7">
        <f t="shared" si="31"/>
        <v>3.8416678952320933E-2</v>
      </c>
    </row>
    <row r="975" spans="1:3" x14ac:dyDescent="0.25">
      <c r="A975" s="1">
        <v>43522</v>
      </c>
      <c r="B975" s="5">
        <v>2793.8999020000001</v>
      </c>
      <c r="C975" s="7">
        <f t="shared" si="31"/>
        <v>5.5943904530014042E-2</v>
      </c>
    </row>
    <row r="976" spans="1:3" x14ac:dyDescent="0.25">
      <c r="A976" s="1">
        <v>43523</v>
      </c>
      <c r="B976" s="5">
        <v>2792.3798830000001</v>
      </c>
      <c r="C976" s="7">
        <f t="shared" si="31"/>
        <v>5.2361037997201501E-2</v>
      </c>
    </row>
    <row r="977" spans="1:3" x14ac:dyDescent="0.25">
      <c r="A977" s="1">
        <v>43524</v>
      </c>
      <c r="B977" s="5">
        <v>2784.48999</v>
      </c>
      <c r="C977" s="7">
        <f t="shared" si="31"/>
        <v>5.610794994008745E-2</v>
      </c>
    </row>
    <row r="978" spans="1:3" x14ac:dyDescent="0.25">
      <c r="A978" s="1">
        <v>43525</v>
      </c>
      <c r="B978" s="5">
        <v>2803.6899410000001</v>
      </c>
      <c r="C978" s="7">
        <f t="shared" si="31"/>
        <v>4.7566630841314406E-2</v>
      </c>
    </row>
    <row r="979" spans="1:3" x14ac:dyDescent="0.25">
      <c r="A979" s="1">
        <v>43528</v>
      </c>
      <c r="B979" s="5">
        <v>2792.8100589999999</v>
      </c>
      <c r="C979" s="7">
        <f t="shared" si="31"/>
        <v>4.0422139260913939E-2</v>
      </c>
    </row>
    <row r="980" spans="1:3" x14ac:dyDescent="0.25">
      <c r="A980" s="1">
        <v>43529</v>
      </c>
      <c r="B980" s="5">
        <v>2789.6499020000001</v>
      </c>
      <c r="C980" s="7">
        <f t="shared" si="31"/>
        <v>1.6575914268789838E-2</v>
      </c>
    </row>
    <row r="981" spans="1:3" x14ac:dyDescent="0.25">
      <c r="A981" s="1">
        <v>43530</v>
      </c>
      <c r="B981" s="5">
        <v>2771.4499510000001</v>
      </c>
      <c r="C981" s="7">
        <f t="shared" si="31"/>
        <v>1.2215935185708177E-2</v>
      </c>
    </row>
    <row r="982" spans="1:3" x14ac:dyDescent="0.25">
      <c r="A982" s="1">
        <v>43531</v>
      </c>
      <c r="B982" s="5">
        <v>2748.929932</v>
      </c>
      <c r="C982" s="7">
        <f t="shared" si="31"/>
        <v>-4.0805234590003212E-3</v>
      </c>
    </row>
    <row r="983" spans="1:3" x14ac:dyDescent="0.25">
      <c r="A983" s="1">
        <v>43532</v>
      </c>
      <c r="B983" s="5">
        <v>2743.070068</v>
      </c>
      <c r="C983" s="7">
        <f t="shared" si="31"/>
        <v>-1.7096489534078583E-2</v>
      </c>
    </row>
    <row r="984" spans="1:3" x14ac:dyDescent="0.25">
      <c r="A984" s="1">
        <v>43535</v>
      </c>
      <c r="B984" s="5">
        <v>2783.3000489999999</v>
      </c>
      <c r="C984" s="7">
        <f t="shared" si="31"/>
        <v>3.0363274843076188E-2</v>
      </c>
    </row>
    <row r="985" spans="1:3" x14ac:dyDescent="0.25">
      <c r="A985" s="1">
        <v>43536</v>
      </c>
      <c r="B985" s="5">
        <v>2791.5200199999999</v>
      </c>
      <c r="C985" s="7">
        <f t="shared" si="31"/>
        <v>3.4835628805405215E-2</v>
      </c>
    </row>
    <row r="986" spans="1:3" x14ac:dyDescent="0.25">
      <c r="A986" s="1">
        <v>43537</v>
      </c>
      <c r="B986" s="5">
        <v>2810.919922</v>
      </c>
      <c r="C986" s="7">
        <f t="shared" si="31"/>
        <v>6.535751087901695E-2</v>
      </c>
    </row>
    <row r="987" spans="1:3" x14ac:dyDescent="0.25">
      <c r="A987" s="1">
        <v>43538</v>
      </c>
      <c r="B987" s="5">
        <v>2808.4799800000001</v>
      </c>
      <c r="C987" s="7">
        <f t="shared" si="31"/>
        <v>6.2728507953106943E-2</v>
      </c>
    </row>
    <row r="988" spans="1:3" x14ac:dyDescent="0.25">
      <c r="A988" s="1">
        <v>43539</v>
      </c>
      <c r="B988" s="5">
        <v>2822.4799800000001</v>
      </c>
      <c r="C988" s="7">
        <f t="shared" si="31"/>
        <v>6.8057437262811188E-2</v>
      </c>
    </row>
    <row r="989" spans="1:3" x14ac:dyDescent="0.25">
      <c r="A989" s="1">
        <v>43542</v>
      </c>
      <c r="B989" s="5">
        <v>2832.9399410000001</v>
      </c>
      <c r="C989" s="7">
        <f t="shared" si="31"/>
        <v>6.6351663097011571E-2</v>
      </c>
    </row>
    <row r="990" spans="1:3" x14ac:dyDescent="0.25">
      <c r="A990" s="1">
        <v>43543</v>
      </c>
      <c r="B990" s="5">
        <v>2832.570068</v>
      </c>
      <c r="C990" s="7">
        <f t="shared" si="31"/>
        <v>6.6421043234051305E-2</v>
      </c>
    </row>
    <row r="991" spans="1:3" x14ac:dyDescent="0.25">
      <c r="A991" s="1">
        <v>43544</v>
      </c>
      <c r="B991" s="5">
        <v>2824.2299800000001</v>
      </c>
      <c r="C991" s="7">
        <f t="shared" si="31"/>
        <v>8.2743558765406261E-2</v>
      </c>
    </row>
    <row r="992" spans="1:3" x14ac:dyDescent="0.25">
      <c r="A992" s="1">
        <v>43545</v>
      </c>
      <c r="B992" s="5">
        <v>2854.8798830000001</v>
      </c>
      <c r="C992" s="7">
        <f t="shared" si="31"/>
        <v>0.1145298594137845</v>
      </c>
    </row>
    <row r="993" spans="1:3" x14ac:dyDescent="0.25">
      <c r="A993" s="1">
        <v>43546</v>
      </c>
      <c r="B993" s="5">
        <v>2800.709961</v>
      </c>
      <c r="C993" s="7">
        <f t="shared" si="31"/>
        <v>9.528663526574993E-2</v>
      </c>
    </row>
    <row r="994" spans="1:3" x14ac:dyDescent="0.25">
      <c r="A994" s="1">
        <v>43549</v>
      </c>
      <c r="B994" s="5">
        <v>2798.360107</v>
      </c>
      <c r="C994" s="7">
        <f t="shared" si="31"/>
        <v>0.10996272136741558</v>
      </c>
    </row>
    <row r="995" spans="1:3" x14ac:dyDescent="0.25">
      <c r="A995" s="1">
        <v>43550</v>
      </c>
      <c r="B995" s="5">
        <v>2818.459961</v>
      </c>
      <c r="C995" s="7">
        <f t="shared" si="31"/>
        <v>0.133017583946657</v>
      </c>
    </row>
    <row r="996" spans="1:3" x14ac:dyDescent="0.25">
      <c r="A996" s="1">
        <v>43551</v>
      </c>
      <c r="B996" s="5">
        <v>2805.3701169999999</v>
      </c>
      <c r="C996" s="7">
        <f t="shared" si="31"/>
        <v>0.14916556120783545</v>
      </c>
    </row>
    <row r="997" spans="1:3" x14ac:dyDescent="0.25">
      <c r="A997" s="1">
        <v>43552</v>
      </c>
      <c r="B997" s="5">
        <v>2815.4399410000001</v>
      </c>
      <c r="C997" s="7">
        <f t="shared" si="31"/>
        <v>0.18023518850015813</v>
      </c>
    </row>
    <row r="998" spans="1:3" x14ac:dyDescent="0.25">
      <c r="A998" s="1">
        <v>43553</v>
      </c>
      <c r="B998" s="5">
        <v>2834.3999020000001</v>
      </c>
      <c r="C998" s="7">
        <f t="shared" si="31"/>
        <v>0.13854371711155156</v>
      </c>
    </row>
    <row r="999" spans="1:3" x14ac:dyDescent="0.25">
      <c r="A999" s="1">
        <v>43556</v>
      </c>
      <c r="B999" s="5">
        <v>2867.1899410000001</v>
      </c>
      <c r="C999" s="7">
        <f t="shared" si="31"/>
        <v>0.14151968362094233</v>
      </c>
    </row>
    <row r="1000" spans="1:3" x14ac:dyDescent="0.25">
      <c r="A1000" s="1">
        <v>43557</v>
      </c>
      <c r="B1000" s="5">
        <v>2867.23999</v>
      </c>
      <c r="C1000" s="7">
        <f t="shared" si="31"/>
        <v>0.14277949319004199</v>
      </c>
    </row>
    <row r="1001" spans="1:3" x14ac:dyDescent="0.25">
      <c r="A1001" s="1">
        <v>43558</v>
      </c>
      <c r="B1001" s="5">
        <v>2873.3999020000001</v>
      </c>
      <c r="C1001" s="7">
        <f t="shared" si="31"/>
        <v>0.13646893947862296</v>
      </c>
    </row>
    <row r="1002" spans="1:3" x14ac:dyDescent="0.25">
      <c r="A1002" s="1">
        <v>43559</v>
      </c>
      <c r="B1002" s="5">
        <v>2879.389893</v>
      </c>
      <c r="C1002" s="7">
        <f t="shared" si="31"/>
        <v>0.13728371218053789</v>
      </c>
    </row>
    <row r="1003" spans="1:3" x14ac:dyDescent="0.25">
      <c r="A1003" s="1">
        <v>43560</v>
      </c>
      <c r="B1003" s="5">
        <v>2892.73999</v>
      </c>
      <c r="C1003" s="7">
        <f t="shared" si="31"/>
        <v>0.16697776110439697</v>
      </c>
    </row>
    <row r="1004" spans="1:3" x14ac:dyDescent="0.25">
      <c r="A1004" s="1">
        <v>43563</v>
      </c>
      <c r="B1004" s="5">
        <v>2895.7700199999999</v>
      </c>
      <c r="C1004" s="7">
        <f t="shared" si="31"/>
        <v>0.13426527437026217</v>
      </c>
    </row>
    <row r="1005" spans="1:3" x14ac:dyDescent="0.25">
      <c r="A1005" s="1">
        <v>43564</v>
      </c>
      <c r="B1005" s="5">
        <v>2878.1999510000001</v>
      </c>
      <c r="C1005" s="7">
        <f t="shared" si="31"/>
        <v>0.12119332171665587</v>
      </c>
    </row>
    <row r="1006" spans="1:3" x14ac:dyDescent="0.25">
      <c r="A1006" s="1">
        <v>43565</v>
      </c>
      <c r="B1006" s="5">
        <v>2888.209961</v>
      </c>
      <c r="C1006" s="7">
        <f t="shared" si="31"/>
        <v>0.11501657209916651</v>
      </c>
    </row>
    <row r="1007" spans="1:3" x14ac:dyDescent="0.25">
      <c r="A1007" s="1">
        <v>43566</v>
      </c>
      <c r="B1007" s="5">
        <v>2888.320068</v>
      </c>
      <c r="C1007" s="7">
        <f t="shared" si="31"/>
        <v>0.11096502289395989</v>
      </c>
    </row>
    <row r="1008" spans="1:3" x14ac:dyDescent="0.25">
      <c r="A1008" s="1">
        <v>43567</v>
      </c>
      <c r="B1008" s="5">
        <v>2907.4099120000001</v>
      </c>
      <c r="C1008" s="7">
        <f t="shared" si="31"/>
        <v>0.11304435985755648</v>
      </c>
    </row>
    <row r="1009" spans="1:3" x14ac:dyDescent="0.25">
      <c r="A1009" s="1">
        <v>43570</v>
      </c>
      <c r="B1009" s="5">
        <v>2905.580078</v>
      </c>
      <c r="C1009" s="7">
        <f t="shared" si="31"/>
        <v>0.11256110122447611</v>
      </c>
    </row>
    <row r="1010" spans="1:3" x14ac:dyDescent="0.25">
      <c r="A1010" s="1">
        <v>43571</v>
      </c>
      <c r="B1010" s="5">
        <v>2907.0600589999999</v>
      </c>
      <c r="C1010" s="7">
        <f t="shared" si="31"/>
        <v>0.11834172457325846</v>
      </c>
    </row>
    <row r="1011" spans="1:3" x14ac:dyDescent="0.25">
      <c r="A1011" s="1">
        <v>43572</v>
      </c>
      <c r="B1011" s="5">
        <v>2900.4499510000001</v>
      </c>
      <c r="C1011" s="7">
        <f t="shared" si="31"/>
        <v>0.10540070444455756</v>
      </c>
    </row>
    <row r="1012" spans="1:3" x14ac:dyDescent="0.25">
      <c r="A1012" s="1">
        <v>43573</v>
      </c>
      <c r="B1012" s="5">
        <v>2905.030029</v>
      </c>
      <c r="C1012" s="7">
        <f t="shared" si="31"/>
        <v>0.10475903063123052</v>
      </c>
    </row>
    <row r="1013" spans="1:3" x14ac:dyDescent="0.25">
      <c r="A1013" s="1">
        <v>43577</v>
      </c>
      <c r="B1013" s="5">
        <v>2907.969971</v>
      </c>
      <c r="C1013" s="7">
        <f t="shared" si="31"/>
        <v>9.8207806053898491E-2</v>
      </c>
    </row>
    <row r="1014" spans="1:3" x14ac:dyDescent="0.25">
      <c r="A1014" s="1">
        <v>43578</v>
      </c>
      <c r="B1014" s="5">
        <v>2933.679932</v>
      </c>
      <c r="C1014" s="7">
        <f t="shared" si="31"/>
        <v>9.3913244409756236E-2</v>
      </c>
    </row>
    <row r="1015" spans="1:3" x14ac:dyDescent="0.25">
      <c r="A1015" s="1">
        <v>43579</v>
      </c>
      <c r="B1015" s="5">
        <v>2927.25</v>
      </c>
      <c r="C1015" s="7">
        <f t="shared" si="31"/>
        <v>0.10597755266615413</v>
      </c>
    </row>
    <row r="1016" spans="1:3" x14ac:dyDescent="0.25">
      <c r="A1016" s="1">
        <v>43580</v>
      </c>
      <c r="B1016" s="5">
        <v>2926.169922</v>
      </c>
      <c r="C1016" s="7">
        <f t="shared" si="31"/>
        <v>0.10340802098372524</v>
      </c>
    </row>
    <row r="1017" spans="1:3" x14ac:dyDescent="0.25">
      <c r="A1017" s="1">
        <v>43581</v>
      </c>
      <c r="B1017" s="5">
        <v>2939.8798830000001</v>
      </c>
      <c r="C1017" s="7">
        <f t="shared" si="31"/>
        <v>0.1067075911992834</v>
      </c>
    </row>
    <row r="1018" spans="1:3" x14ac:dyDescent="0.25">
      <c r="A1018" s="1">
        <v>43584</v>
      </c>
      <c r="B1018" s="5">
        <v>2943.030029</v>
      </c>
      <c r="C1018" s="7">
        <f t="shared" si="31"/>
        <v>9.9325671703087023E-2</v>
      </c>
    </row>
    <row r="1019" spans="1:3" x14ac:dyDescent="0.25">
      <c r="A1019" s="1">
        <v>43585</v>
      </c>
      <c r="B1019" s="5">
        <v>2945.830078</v>
      </c>
      <c r="C1019" s="7">
        <f t="shared" si="31"/>
        <v>0.10815441226696332</v>
      </c>
    </row>
    <row r="1020" spans="1:3" x14ac:dyDescent="0.25">
      <c r="A1020" s="1">
        <v>43586</v>
      </c>
      <c r="B1020" s="5">
        <v>2923.7299800000001</v>
      </c>
      <c r="C1020" s="7">
        <f t="shared" si="31"/>
        <v>0.10208127436391236</v>
      </c>
    </row>
    <row r="1021" spans="1:3" x14ac:dyDescent="0.25">
      <c r="A1021" s="1">
        <v>43587</v>
      </c>
      <c r="B1021" s="5">
        <v>2917.5200199999999</v>
      </c>
      <c r="C1021" s="7">
        <f t="shared" si="31"/>
        <v>8.4525420080555316E-2</v>
      </c>
    </row>
    <row r="1022" spans="1:3" x14ac:dyDescent="0.25">
      <c r="A1022" s="1">
        <v>43588</v>
      </c>
      <c r="B1022" s="5">
        <v>2945.639893</v>
      </c>
      <c r="C1022" s="7">
        <f t="shared" si="31"/>
        <v>8.5556898669243431E-2</v>
      </c>
    </row>
    <row r="1023" spans="1:3" x14ac:dyDescent="0.25">
      <c r="A1023" s="1">
        <v>43591</v>
      </c>
      <c r="B1023" s="5">
        <v>2932.469971</v>
      </c>
      <c r="C1023" s="7">
        <f t="shared" si="31"/>
        <v>8.0177679090191134E-2</v>
      </c>
    </row>
    <row r="1024" spans="1:3" x14ac:dyDescent="0.25">
      <c r="A1024" s="1">
        <v>43592</v>
      </c>
      <c r="B1024" s="5">
        <v>2884.0500489999999</v>
      </c>
      <c r="C1024" s="7">
        <f t="shared" si="31"/>
        <v>5.677480980128588E-2</v>
      </c>
    </row>
    <row r="1025" spans="1:3" x14ac:dyDescent="0.25">
      <c r="A1025" s="1">
        <v>43593</v>
      </c>
      <c r="B1025" s="5">
        <v>2879.419922</v>
      </c>
      <c r="C1025" s="7">
        <f t="shared" si="31"/>
        <v>5.0470723952302406E-2</v>
      </c>
    </row>
    <row r="1026" spans="1:3" x14ac:dyDescent="0.25">
      <c r="A1026" s="1">
        <v>43594</v>
      </c>
      <c r="B1026" s="5">
        <v>2870.719971</v>
      </c>
      <c r="C1026" s="7">
        <f t="shared" si="31"/>
        <v>4.9671641159547322E-2</v>
      </c>
    </row>
    <row r="1027" spans="1:3" x14ac:dyDescent="0.25">
      <c r="A1027" s="1">
        <v>43595</v>
      </c>
      <c r="B1027" s="5">
        <v>2881.3999020000001</v>
      </c>
      <c r="C1027" s="7">
        <f t="shared" ref="C1027:C1090" si="32">LN(B1027/B963)</f>
        <v>6.2786227991024762E-2</v>
      </c>
    </row>
    <row r="1028" spans="1:3" x14ac:dyDescent="0.25">
      <c r="A1028" s="1">
        <v>43598</v>
      </c>
      <c r="B1028" s="5">
        <v>2811.8701169999999</v>
      </c>
      <c r="C1028" s="7">
        <f t="shared" si="32"/>
        <v>3.7683786333405432E-2</v>
      </c>
    </row>
    <row r="1029" spans="1:3" x14ac:dyDescent="0.25">
      <c r="A1029" s="1">
        <v>43599</v>
      </c>
      <c r="B1029" s="5">
        <v>2834.4099120000001</v>
      </c>
      <c r="C1029" s="7">
        <f t="shared" si="32"/>
        <v>4.4958922086711657E-2</v>
      </c>
    </row>
    <row r="1030" spans="1:3" x14ac:dyDescent="0.25">
      <c r="A1030" s="1">
        <v>43600</v>
      </c>
      <c r="B1030" s="5">
        <v>2850.959961</v>
      </c>
      <c r="C1030" s="7">
        <f t="shared" si="32"/>
        <v>3.797306380631562E-2</v>
      </c>
    </row>
    <row r="1031" spans="1:3" x14ac:dyDescent="0.25">
      <c r="A1031" s="1">
        <v>43601</v>
      </c>
      <c r="B1031" s="5">
        <v>2876.320068</v>
      </c>
      <c r="C1031" s="7">
        <f t="shared" si="32"/>
        <v>4.3809589119292461E-2</v>
      </c>
    </row>
    <row r="1032" spans="1:3" x14ac:dyDescent="0.25">
      <c r="A1032" s="1">
        <v>43602</v>
      </c>
      <c r="B1032" s="5">
        <v>2859.530029</v>
      </c>
      <c r="C1032" s="7">
        <f t="shared" si="32"/>
        <v>4.0610315412954283E-2</v>
      </c>
    </row>
    <row r="1033" spans="1:3" x14ac:dyDescent="0.25">
      <c r="A1033" s="1">
        <v>43605</v>
      </c>
      <c r="B1033" s="5">
        <v>2840.2299800000001</v>
      </c>
      <c r="C1033" s="7">
        <f t="shared" si="32"/>
        <v>2.3018052416804775E-2</v>
      </c>
    </row>
    <row r="1034" spans="1:3" x14ac:dyDescent="0.25">
      <c r="A1034" s="1">
        <v>43606</v>
      </c>
      <c r="B1034" s="5">
        <v>2864.360107</v>
      </c>
      <c r="C1034" s="7">
        <f t="shared" si="32"/>
        <v>2.9980380240690944E-2</v>
      </c>
    </row>
    <row r="1035" spans="1:3" x14ac:dyDescent="0.25">
      <c r="A1035" s="1">
        <v>43607</v>
      </c>
      <c r="B1035" s="5">
        <v>2856.2700199999999</v>
      </c>
      <c r="C1035" s="7">
        <f t="shared" si="32"/>
        <v>2.5376454773483596E-2</v>
      </c>
    </row>
    <row r="1036" spans="1:3" x14ac:dyDescent="0.25">
      <c r="A1036" s="1">
        <v>43608</v>
      </c>
      <c r="B1036" s="5">
        <v>2822.23999</v>
      </c>
      <c r="C1036" s="7">
        <f t="shared" si="32"/>
        <v>1.69234314815929E-2</v>
      </c>
    </row>
    <row r="1037" spans="1:3" x14ac:dyDescent="0.25">
      <c r="A1037" s="1">
        <v>43609</v>
      </c>
      <c r="B1037" s="5">
        <v>2826.0600589999999</v>
      </c>
      <c r="C1037" s="7">
        <f t="shared" si="32"/>
        <v>1.1885436808527347E-2</v>
      </c>
    </row>
    <row r="1038" spans="1:3" x14ac:dyDescent="0.25">
      <c r="A1038" s="1">
        <v>43613</v>
      </c>
      <c r="B1038" s="5">
        <v>2802.389893</v>
      </c>
      <c r="C1038" s="7">
        <f t="shared" si="32"/>
        <v>2.2433825609444406E-3</v>
      </c>
    </row>
    <row r="1039" spans="1:3" x14ac:dyDescent="0.25">
      <c r="A1039" s="1">
        <v>43614</v>
      </c>
      <c r="B1039" s="5">
        <v>2783.0200199999999</v>
      </c>
      <c r="C1039" s="7">
        <f t="shared" si="32"/>
        <v>-3.9017579433989944E-3</v>
      </c>
    </row>
    <row r="1040" spans="1:3" x14ac:dyDescent="0.25">
      <c r="A1040" s="1">
        <v>43615</v>
      </c>
      <c r="B1040" s="5">
        <v>2788.860107</v>
      </c>
      <c r="C1040" s="7">
        <f t="shared" si="32"/>
        <v>-1.261288341990553E-3</v>
      </c>
    </row>
    <row r="1041" spans="1:3" x14ac:dyDescent="0.25">
      <c r="A1041" s="1">
        <v>43616</v>
      </c>
      <c r="B1041" s="5">
        <v>2752.0600589999999</v>
      </c>
      <c r="C1041" s="7">
        <f t="shared" si="32"/>
        <v>-1.1714985543286253E-2</v>
      </c>
    </row>
    <row r="1042" spans="1:3" x14ac:dyDescent="0.25">
      <c r="A1042" s="1">
        <v>43619</v>
      </c>
      <c r="B1042" s="5">
        <v>2744.4499510000001</v>
      </c>
      <c r="C1042" s="7">
        <f t="shared" si="32"/>
        <v>-2.1355712935823511E-2</v>
      </c>
    </row>
    <row r="1043" spans="1:3" x14ac:dyDescent="0.25">
      <c r="A1043" s="1">
        <v>43620</v>
      </c>
      <c r="B1043" s="5">
        <v>2803.2700199999999</v>
      </c>
      <c r="C1043" s="7">
        <f t="shared" si="32"/>
        <v>3.7383214799900171E-3</v>
      </c>
    </row>
    <row r="1044" spans="1:3" x14ac:dyDescent="0.25">
      <c r="A1044" s="1">
        <v>43621</v>
      </c>
      <c r="B1044" s="5">
        <v>2826.1499020000001</v>
      </c>
      <c r="C1044" s="7">
        <f t="shared" si="32"/>
        <v>1.2999221928349396E-2</v>
      </c>
    </row>
    <row r="1045" spans="1:3" x14ac:dyDescent="0.25">
      <c r="A1045" s="1">
        <v>43622</v>
      </c>
      <c r="B1045" s="5">
        <v>2843.48999</v>
      </c>
      <c r="C1045" s="7">
        <f t="shared" si="32"/>
        <v>2.5661536186478481E-2</v>
      </c>
    </row>
    <row r="1046" spans="1:3" x14ac:dyDescent="0.25">
      <c r="A1046" s="1">
        <v>43623</v>
      </c>
      <c r="B1046" s="5">
        <v>2873.3400879999999</v>
      </c>
      <c r="C1046" s="7">
        <f t="shared" si="32"/>
        <v>4.4263426499811333E-2</v>
      </c>
    </row>
    <row r="1047" spans="1:3" x14ac:dyDescent="0.25">
      <c r="A1047" s="1">
        <v>43626</v>
      </c>
      <c r="B1047" s="5">
        <v>2886.7299800000001</v>
      </c>
      <c r="C1047" s="7">
        <f t="shared" si="32"/>
        <v>5.1046610767328665E-2</v>
      </c>
    </row>
    <row r="1048" spans="1:3" x14ac:dyDescent="0.25">
      <c r="A1048" s="1">
        <v>43627</v>
      </c>
      <c r="B1048" s="5">
        <v>2885.719971</v>
      </c>
      <c r="C1048" s="7">
        <f t="shared" si="32"/>
        <v>3.6137133818381996E-2</v>
      </c>
    </row>
    <row r="1049" spans="1:3" x14ac:dyDescent="0.25">
      <c r="A1049" s="1">
        <v>43628</v>
      </c>
      <c r="B1049" s="5">
        <v>2879.8400879999999</v>
      </c>
      <c r="C1049" s="7">
        <f t="shared" si="32"/>
        <v>3.1148510092274657E-2</v>
      </c>
    </row>
    <row r="1050" spans="1:3" x14ac:dyDescent="0.25">
      <c r="A1050" s="1">
        <v>43629</v>
      </c>
      <c r="B1050" s="5">
        <v>2891.639893</v>
      </c>
      <c r="C1050" s="7">
        <f t="shared" si="32"/>
        <v>2.8311974069470502E-2</v>
      </c>
    </row>
    <row r="1051" spans="1:3" x14ac:dyDescent="0.25">
      <c r="A1051" s="1">
        <v>43630</v>
      </c>
      <c r="B1051" s="5">
        <v>2886.9799800000001</v>
      </c>
      <c r="C1051" s="7">
        <f t="shared" si="32"/>
        <v>2.7567561518026699E-2</v>
      </c>
    </row>
    <row r="1052" spans="1:3" x14ac:dyDescent="0.25">
      <c r="A1052" s="1">
        <v>43633</v>
      </c>
      <c r="B1052" s="5">
        <v>2889.669922</v>
      </c>
      <c r="C1052" s="7">
        <f t="shared" si="32"/>
        <v>2.3526357746745483E-2</v>
      </c>
    </row>
    <row r="1053" spans="1:3" x14ac:dyDescent="0.25">
      <c r="A1053" s="1">
        <v>43634</v>
      </c>
      <c r="B1053" s="5">
        <v>2917.75</v>
      </c>
      <c r="C1053" s="7">
        <f t="shared" si="32"/>
        <v>2.9497750474875576E-2</v>
      </c>
    </row>
    <row r="1054" spans="1:3" x14ac:dyDescent="0.25">
      <c r="A1054" s="1">
        <v>43635</v>
      </c>
      <c r="B1054" s="5">
        <v>2926.459961</v>
      </c>
      <c r="C1054" s="7">
        <f t="shared" si="32"/>
        <v>3.2609037352653095E-2</v>
      </c>
    </row>
    <row r="1055" spans="1:3" x14ac:dyDescent="0.25">
      <c r="A1055" s="1">
        <v>43636</v>
      </c>
      <c r="B1055" s="5">
        <v>2954.179932</v>
      </c>
      <c r="C1055" s="7">
        <f t="shared" si="32"/>
        <v>4.4985339568690705E-2</v>
      </c>
    </row>
    <row r="1056" spans="1:3" x14ac:dyDescent="0.25">
      <c r="A1056" s="1">
        <v>43637</v>
      </c>
      <c r="B1056" s="5">
        <v>2950.459961</v>
      </c>
      <c r="C1056" s="7">
        <f t="shared" si="32"/>
        <v>3.2931307462155494E-2</v>
      </c>
    </row>
    <row r="1057" spans="1:3" x14ac:dyDescent="0.25">
      <c r="A1057" s="1">
        <v>43640</v>
      </c>
      <c r="B1057" s="5">
        <v>2945.3500979999999</v>
      </c>
      <c r="C1057" s="7">
        <f t="shared" si="32"/>
        <v>5.0354746274728954E-2</v>
      </c>
    </row>
    <row r="1058" spans="1:3" x14ac:dyDescent="0.25">
      <c r="A1058" s="1">
        <v>43641</v>
      </c>
      <c r="B1058" s="5">
        <v>2917.3798830000001</v>
      </c>
      <c r="C1058" s="7">
        <f t="shared" si="32"/>
        <v>4.1652343588285859E-2</v>
      </c>
    </row>
    <row r="1059" spans="1:3" x14ac:dyDescent="0.25">
      <c r="A1059" s="1">
        <v>43642</v>
      </c>
      <c r="B1059" s="5">
        <v>2913.780029</v>
      </c>
      <c r="C1059" s="7">
        <f t="shared" si="32"/>
        <v>3.3260594622458131E-2</v>
      </c>
    </row>
    <row r="1060" spans="1:3" x14ac:dyDescent="0.25">
      <c r="A1060" s="1">
        <v>43643</v>
      </c>
      <c r="B1060" s="5">
        <v>2924.919922</v>
      </c>
      <c r="C1060" s="7">
        <f t="shared" si="32"/>
        <v>4.173162392528202E-2</v>
      </c>
    </row>
    <row r="1061" spans="1:3" x14ac:dyDescent="0.25">
      <c r="A1061" s="1">
        <v>43644</v>
      </c>
      <c r="B1061" s="5">
        <v>2941.76001</v>
      </c>
      <c r="C1061" s="7">
        <f t="shared" si="32"/>
        <v>4.3889511165012843E-2</v>
      </c>
    </row>
    <row r="1062" spans="1:3" x14ac:dyDescent="0.25">
      <c r="A1062" s="1">
        <v>43647</v>
      </c>
      <c r="B1062" s="5">
        <v>2964.330078</v>
      </c>
      <c r="C1062" s="7">
        <f t="shared" si="32"/>
        <v>4.482082358778678E-2</v>
      </c>
    </row>
    <row r="1063" spans="1:3" x14ac:dyDescent="0.25">
      <c r="A1063" s="1">
        <v>43648</v>
      </c>
      <c r="B1063" s="5">
        <v>2973.01001</v>
      </c>
      <c r="C1063" s="7">
        <f t="shared" si="32"/>
        <v>3.6242475488144625E-2</v>
      </c>
    </row>
    <row r="1064" spans="1:3" x14ac:dyDescent="0.25">
      <c r="A1064" s="1">
        <v>43649</v>
      </c>
      <c r="B1064" s="5">
        <v>2995.820068</v>
      </c>
      <c r="C1064" s="7">
        <f t="shared" si="32"/>
        <v>4.3868115335230745E-2</v>
      </c>
    </row>
    <row r="1065" spans="1:3" x14ac:dyDescent="0.25">
      <c r="A1065" s="1">
        <v>43651</v>
      </c>
      <c r="B1065" s="5">
        <v>2990.4099120000001</v>
      </c>
      <c r="C1065" s="7">
        <f t="shared" si="32"/>
        <v>3.9914508831865751E-2</v>
      </c>
    </row>
    <row r="1066" spans="1:3" x14ac:dyDescent="0.25">
      <c r="A1066" s="1">
        <v>43654</v>
      </c>
      <c r="B1066" s="5">
        <v>2975.9499510000001</v>
      </c>
      <c r="C1066" s="7">
        <f t="shared" si="32"/>
        <v>3.2984870291421317E-2</v>
      </c>
    </row>
    <row r="1067" spans="1:3" x14ac:dyDescent="0.25">
      <c r="A1067" s="1">
        <v>43655</v>
      </c>
      <c r="B1067" s="5">
        <v>2979.6298830000001</v>
      </c>
      <c r="C1067" s="7">
        <f t="shared" si="32"/>
        <v>2.959494607499526E-2</v>
      </c>
    </row>
    <row r="1068" spans="1:3" x14ac:dyDescent="0.25">
      <c r="A1068" s="1">
        <v>43656</v>
      </c>
      <c r="B1068" s="5">
        <v>2993.070068</v>
      </c>
      <c r="C1068" s="7">
        <f t="shared" si="32"/>
        <v>3.3048580834662049E-2</v>
      </c>
    </row>
    <row r="1069" spans="1:3" x14ac:dyDescent="0.25">
      <c r="A1069" s="1">
        <v>43657</v>
      </c>
      <c r="B1069" s="5">
        <v>2999.9099120000001</v>
      </c>
      <c r="C1069" s="7">
        <f t="shared" si="32"/>
        <v>4.1417177154480081E-2</v>
      </c>
    </row>
    <row r="1070" spans="1:3" x14ac:dyDescent="0.25">
      <c r="A1070" s="1">
        <v>43658</v>
      </c>
      <c r="B1070" s="5">
        <v>3013.7700199999999</v>
      </c>
      <c r="C1070" s="7">
        <f t="shared" si="32"/>
        <v>4.2554873812686127E-2</v>
      </c>
    </row>
    <row r="1071" spans="1:3" x14ac:dyDescent="0.25">
      <c r="A1071" s="1">
        <v>43661</v>
      </c>
      <c r="B1071" s="5">
        <v>3014.3000489999999</v>
      </c>
      <c r="C1071" s="7">
        <f t="shared" si="32"/>
        <v>4.2692605248274638E-2</v>
      </c>
    </row>
    <row r="1072" spans="1:3" x14ac:dyDescent="0.25">
      <c r="A1072" s="1">
        <v>43662</v>
      </c>
      <c r="B1072" s="5">
        <v>3004.040039</v>
      </c>
      <c r="C1072" s="7">
        <f t="shared" si="32"/>
        <v>3.2695442139089322E-2</v>
      </c>
    </row>
    <row r="1073" spans="1:3" x14ac:dyDescent="0.25">
      <c r="A1073" s="1">
        <v>43663</v>
      </c>
      <c r="B1073" s="5">
        <v>2984.419922</v>
      </c>
      <c r="C1073" s="7">
        <f t="shared" si="32"/>
        <v>2.6772343985443963E-2</v>
      </c>
    </row>
    <row r="1074" spans="1:3" x14ac:dyDescent="0.25">
      <c r="A1074" s="1">
        <v>43664</v>
      </c>
      <c r="B1074" s="5">
        <v>2995.110107</v>
      </c>
      <c r="C1074" s="7">
        <f t="shared" si="32"/>
        <v>2.9838713003617671E-2</v>
      </c>
    </row>
    <row r="1075" spans="1:3" x14ac:dyDescent="0.25">
      <c r="A1075" s="1">
        <v>43665</v>
      </c>
      <c r="B1075" s="5">
        <v>2976.610107</v>
      </c>
      <c r="C1075" s="7">
        <f t="shared" si="32"/>
        <v>2.5919224557640449E-2</v>
      </c>
    </row>
    <row r="1076" spans="1:3" x14ac:dyDescent="0.25">
      <c r="A1076" s="1">
        <v>43668</v>
      </c>
      <c r="B1076" s="5">
        <v>2985.030029</v>
      </c>
      <c r="C1076" s="7">
        <f t="shared" si="32"/>
        <v>2.7166079504851826E-2</v>
      </c>
    </row>
    <row r="1077" spans="1:3" x14ac:dyDescent="0.25">
      <c r="A1077" s="1">
        <v>43669</v>
      </c>
      <c r="B1077" s="5">
        <v>3005.469971</v>
      </c>
      <c r="C1077" s="7">
        <f t="shared" si="32"/>
        <v>3.297871882114476E-2</v>
      </c>
    </row>
    <row r="1078" spans="1:3" x14ac:dyDescent="0.25">
      <c r="A1078" s="1">
        <v>43670</v>
      </c>
      <c r="B1078" s="5">
        <v>3019.5600589999999</v>
      </c>
      <c r="C1078" s="7">
        <f t="shared" si="32"/>
        <v>2.8853560474976732E-2</v>
      </c>
    </row>
    <row r="1079" spans="1:3" x14ac:dyDescent="0.25">
      <c r="A1079" s="1">
        <v>43671</v>
      </c>
      <c r="B1079" s="5">
        <v>3003.669922</v>
      </c>
      <c r="C1079" s="7">
        <f t="shared" si="32"/>
        <v>2.5771432623989426E-2</v>
      </c>
    </row>
    <row r="1080" spans="1:3" x14ac:dyDescent="0.25">
      <c r="A1080" s="1">
        <v>43672</v>
      </c>
      <c r="B1080" s="5">
        <v>3025.860107</v>
      </c>
      <c r="C1080" s="7">
        <f t="shared" si="32"/>
        <v>3.3501009911288446E-2</v>
      </c>
    </row>
    <row r="1081" spans="1:3" x14ac:dyDescent="0.25">
      <c r="A1081" s="1">
        <v>43675</v>
      </c>
      <c r="B1081" s="5">
        <v>3020.969971</v>
      </c>
      <c r="C1081" s="7">
        <f t="shared" si="32"/>
        <v>2.7209237875560614E-2</v>
      </c>
    </row>
    <row r="1082" spans="1:3" x14ac:dyDescent="0.25">
      <c r="A1082" s="1">
        <v>43676</v>
      </c>
      <c r="B1082" s="5">
        <v>3013.179932</v>
      </c>
      <c r="C1082" s="7">
        <f t="shared" si="32"/>
        <v>2.3556304184930488E-2</v>
      </c>
    </row>
    <row r="1083" spans="1:3" x14ac:dyDescent="0.25">
      <c r="A1083" s="1">
        <v>43677</v>
      </c>
      <c r="B1083" s="5">
        <v>2980.3798830000001</v>
      </c>
      <c r="C1083" s="7">
        <f t="shared" si="32"/>
        <v>1.1660132419201882E-2</v>
      </c>
    </row>
    <row r="1084" spans="1:3" x14ac:dyDescent="0.25">
      <c r="A1084" s="1">
        <v>43678</v>
      </c>
      <c r="B1084" s="5">
        <v>2953.5600589999999</v>
      </c>
      <c r="C1084" s="7">
        <f t="shared" si="32"/>
        <v>1.0151050893214752E-2</v>
      </c>
    </row>
    <row r="1085" spans="1:3" x14ac:dyDescent="0.25">
      <c r="A1085" s="1">
        <v>43679</v>
      </c>
      <c r="B1085" s="5">
        <v>2932.0500489999999</v>
      </c>
      <c r="C1085" s="7">
        <f t="shared" si="32"/>
        <v>4.9679066024127094E-3</v>
      </c>
    </row>
    <row r="1086" spans="1:3" x14ac:dyDescent="0.25">
      <c r="A1086" s="1">
        <v>43682</v>
      </c>
      <c r="B1086" s="5">
        <v>2844.73999</v>
      </c>
      <c r="C1086" s="7">
        <f t="shared" si="32"/>
        <v>-3.4854403169760774E-2</v>
      </c>
    </row>
    <row r="1087" spans="1:3" x14ac:dyDescent="0.25">
      <c r="A1087" s="1">
        <v>43683</v>
      </c>
      <c r="B1087" s="5">
        <v>2881.7700199999999</v>
      </c>
      <c r="C1087" s="7">
        <f t="shared" si="32"/>
        <v>-1.7440365782489215E-2</v>
      </c>
    </row>
    <row r="1088" spans="1:3" x14ac:dyDescent="0.25">
      <c r="A1088" s="1">
        <v>43684</v>
      </c>
      <c r="B1088" s="5">
        <v>2883.9799800000001</v>
      </c>
      <c r="C1088" s="7">
        <f t="shared" si="32"/>
        <v>-2.4295643278940241E-5</v>
      </c>
    </row>
    <row r="1089" spans="1:3" x14ac:dyDescent="0.25">
      <c r="A1089" s="1">
        <v>43685</v>
      </c>
      <c r="B1089" s="5">
        <v>2938.0900879999999</v>
      </c>
      <c r="C1089" s="7">
        <f t="shared" si="32"/>
        <v>2.0170882428952021E-2</v>
      </c>
    </row>
    <row r="1090" spans="1:3" x14ac:dyDescent="0.25">
      <c r="A1090" s="1">
        <v>43686</v>
      </c>
      <c r="B1090" s="5">
        <v>2918.6499020000001</v>
      </c>
      <c r="C1090" s="7">
        <f t="shared" si="32"/>
        <v>1.6558287742216224E-2</v>
      </c>
    </row>
    <row r="1091" spans="1:3" x14ac:dyDescent="0.25">
      <c r="A1091" s="1">
        <v>43689</v>
      </c>
      <c r="B1091" s="5">
        <v>2882.6999510000001</v>
      </c>
      <c r="C1091" s="7">
        <f t="shared" ref="C1091:C1154" si="33">LN(B1091/B1027)</f>
        <v>4.5108483725095995E-4</v>
      </c>
    </row>
    <row r="1092" spans="1:3" x14ac:dyDescent="0.25">
      <c r="A1092" s="1">
        <v>43690</v>
      </c>
      <c r="B1092" s="5">
        <v>2926.320068</v>
      </c>
      <c r="C1092" s="7">
        <f t="shared" si="33"/>
        <v>3.9895900127247239E-2</v>
      </c>
    </row>
    <row r="1093" spans="1:3" x14ac:dyDescent="0.25">
      <c r="A1093" s="1">
        <v>43691</v>
      </c>
      <c r="B1093" s="5">
        <v>2840.6000979999999</v>
      </c>
      <c r="C1093" s="7">
        <f t="shared" si="33"/>
        <v>2.1815603652230605E-3</v>
      </c>
    </row>
    <row r="1094" spans="1:3" x14ac:dyDescent="0.25">
      <c r="A1094" s="1">
        <v>43692</v>
      </c>
      <c r="B1094" s="5">
        <v>2847.6000979999999</v>
      </c>
      <c r="C1094" s="7">
        <f t="shared" si="33"/>
        <v>-1.179197325127594E-3</v>
      </c>
    </row>
    <row r="1095" spans="1:3" x14ac:dyDescent="0.25">
      <c r="A1095" s="1">
        <v>43693</v>
      </c>
      <c r="B1095" s="5">
        <v>2888.679932</v>
      </c>
      <c r="C1095" s="7">
        <f t="shared" si="33"/>
        <v>4.287903881175714E-3</v>
      </c>
    </row>
    <row r="1096" spans="1:3" x14ac:dyDescent="0.25">
      <c r="A1096" s="1">
        <v>43696</v>
      </c>
      <c r="B1096" s="5">
        <v>2923.6499020000001</v>
      </c>
      <c r="C1096" s="7">
        <f t="shared" si="33"/>
        <v>2.2175516356510262E-2</v>
      </c>
    </row>
    <row r="1097" spans="1:3" x14ac:dyDescent="0.25">
      <c r="A1097" s="1">
        <v>43697</v>
      </c>
      <c r="B1097" s="5">
        <v>2900.51001</v>
      </c>
      <c r="C1097" s="7">
        <f t="shared" si="33"/>
        <v>2.1001559279400263E-2</v>
      </c>
    </row>
    <row r="1098" spans="1:3" x14ac:dyDescent="0.25">
      <c r="A1098" s="1">
        <v>43698</v>
      </c>
      <c r="B1098" s="5">
        <v>2924.429932</v>
      </c>
      <c r="C1098" s="7">
        <f t="shared" si="33"/>
        <v>2.0754589767889808E-2</v>
      </c>
    </row>
    <row r="1099" spans="1:3" x14ac:dyDescent="0.25">
      <c r="A1099" s="1">
        <v>43699</v>
      </c>
      <c r="B1099" s="5">
        <v>2922.9499510000001</v>
      </c>
      <c r="C1099" s="7">
        <f t="shared" si="33"/>
        <v>2.307677867942487E-2</v>
      </c>
    </row>
    <row r="1100" spans="1:3" x14ac:dyDescent="0.25">
      <c r="A1100" s="1">
        <v>43700</v>
      </c>
      <c r="B1100" s="5">
        <v>2847.110107</v>
      </c>
      <c r="C1100" s="7">
        <f t="shared" si="33"/>
        <v>8.773589955652486E-3</v>
      </c>
    </row>
    <row r="1101" spans="1:3" x14ac:dyDescent="0.25">
      <c r="A1101" s="1">
        <v>43703</v>
      </c>
      <c r="B1101" s="5">
        <v>2878.3798830000001</v>
      </c>
      <c r="C1101" s="7">
        <f t="shared" si="33"/>
        <v>1.8344058900933616E-2</v>
      </c>
    </row>
    <row r="1102" spans="1:3" x14ac:dyDescent="0.25">
      <c r="A1102" s="1">
        <v>43704</v>
      </c>
      <c r="B1102" s="5">
        <v>2869.1599120000001</v>
      </c>
      <c r="C1102" s="7">
        <f t="shared" si="33"/>
        <v>2.3546686990586121E-2</v>
      </c>
    </row>
    <row r="1103" spans="1:3" x14ac:dyDescent="0.25">
      <c r="A1103" s="1">
        <v>43705</v>
      </c>
      <c r="B1103" s="5">
        <v>2887.9399410000001</v>
      </c>
      <c r="C1103" s="7">
        <f t="shared" si="33"/>
        <v>3.7006748567938591E-2</v>
      </c>
    </row>
    <row r="1104" spans="1:3" x14ac:dyDescent="0.25">
      <c r="A1104" s="1">
        <v>43706</v>
      </c>
      <c r="B1104" s="5">
        <v>2924.580078</v>
      </c>
      <c r="C1104" s="7">
        <f t="shared" si="33"/>
        <v>4.7517958751669795E-2</v>
      </c>
    </row>
    <row r="1105" spans="1:3" x14ac:dyDescent="0.25">
      <c r="A1105" s="1">
        <v>43707</v>
      </c>
      <c r="B1105" s="5">
        <v>2926.459961</v>
      </c>
      <c r="C1105" s="7">
        <f t="shared" si="33"/>
        <v>6.1443744527209375E-2</v>
      </c>
    </row>
    <row r="1106" spans="1:3" x14ac:dyDescent="0.25">
      <c r="A1106" s="1">
        <v>43711</v>
      </c>
      <c r="B1106" s="5">
        <v>2906.2700199999999</v>
      </c>
      <c r="C1106" s="7">
        <f t="shared" si="33"/>
        <v>5.7289806199007379E-2</v>
      </c>
    </row>
    <row r="1107" spans="1:3" x14ac:dyDescent="0.25">
      <c r="A1107" s="1">
        <v>43712</v>
      </c>
      <c r="B1107" s="5">
        <v>2937.780029</v>
      </c>
      <c r="C1107" s="7">
        <f t="shared" si="33"/>
        <v>4.6867603904165896E-2</v>
      </c>
    </row>
    <row r="1108" spans="1:3" x14ac:dyDescent="0.25">
      <c r="A1108" s="1">
        <v>43713</v>
      </c>
      <c r="B1108" s="5">
        <v>2976</v>
      </c>
      <c r="C1108" s="7">
        <f t="shared" si="33"/>
        <v>5.1664790237013272E-2</v>
      </c>
    </row>
    <row r="1109" spans="1:3" x14ac:dyDescent="0.25">
      <c r="A1109" s="1">
        <v>43714</v>
      </c>
      <c r="B1109" s="5">
        <v>2978.709961</v>
      </c>
      <c r="C1109" s="7">
        <f t="shared" si="33"/>
        <v>4.645814034716135E-2</v>
      </c>
    </row>
    <row r="1110" spans="1:3" x14ac:dyDescent="0.25">
      <c r="A1110" s="1">
        <v>43717</v>
      </c>
      <c r="B1110" s="5">
        <v>2978.429932</v>
      </c>
      <c r="C1110" s="7">
        <f t="shared" si="33"/>
        <v>3.5921146400187801E-2</v>
      </c>
    </row>
    <row r="1111" spans="1:3" x14ac:dyDescent="0.25">
      <c r="A1111" s="1">
        <v>43718</v>
      </c>
      <c r="B1111" s="5">
        <v>2979.389893</v>
      </c>
      <c r="C1111" s="7">
        <f t="shared" si="33"/>
        <v>3.1594178972738217E-2</v>
      </c>
    </row>
    <row r="1112" spans="1:3" x14ac:dyDescent="0.25">
      <c r="A1112" s="1">
        <v>43719</v>
      </c>
      <c r="B1112" s="5">
        <v>3000.929932</v>
      </c>
      <c r="C1112" s="7">
        <f t="shared" si="33"/>
        <v>3.9147792469975462E-2</v>
      </c>
    </row>
    <row r="1113" spans="1:3" x14ac:dyDescent="0.25">
      <c r="A1113" s="1">
        <v>43720</v>
      </c>
      <c r="B1113" s="5">
        <v>3009.570068</v>
      </c>
      <c r="C1113" s="7">
        <f t="shared" si="33"/>
        <v>4.4062466401178606E-2</v>
      </c>
    </row>
    <row r="1114" spans="1:3" x14ac:dyDescent="0.25">
      <c r="A1114" s="1">
        <v>43721</v>
      </c>
      <c r="B1114" s="5">
        <v>3007.389893</v>
      </c>
      <c r="C1114" s="7">
        <f t="shared" si="33"/>
        <v>3.9248779173137335E-2</v>
      </c>
    </row>
    <row r="1115" spans="1:3" x14ac:dyDescent="0.25">
      <c r="A1115" s="1">
        <v>43724</v>
      </c>
      <c r="B1115" s="5">
        <v>2997.959961</v>
      </c>
      <c r="C1115" s="7">
        <f t="shared" si="33"/>
        <v>3.7721078231763877E-2</v>
      </c>
    </row>
    <row r="1116" spans="1:3" x14ac:dyDescent="0.25">
      <c r="A1116" s="1">
        <v>43725</v>
      </c>
      <c r="B1116" s="5">
        <v>3005.6999510000001</v>
      </c>
      <c r="C1116" s="7">
        <f t="shared" si="33"/>
        <v>3.9368187888217984E-2</v>
      </c>
    </row>
    <row r="1117" spans="1:3" x14ac:dyDescent="0.25">
      <c r="A1117" s="1">
        <v>43726</v>
      </c>
      <c r="B1117" s="5">
        <v>3006.7299800000001</v>
      </c>
      <c r="C1117" s="7">
        <f t="shared" si="33"/>
        <v>3.0040331524054796E-2</v>
      </c>
    </row>
    <row r="1118" spans="1:3" x14ac:dyDescent="0.25">
      <c r="A1118" s="1">
        <v>43727</v>
      </c>
      <c r="B1118" s="5">
        <v>3006.790039</v>
      </c>
      <c r="C1118" s="7">
        <f t="shared" si="33"/>
        <v>2.7079589366717765E-2</v>
      </c>
    </row>
    <row r="1119" spans="1:3" x14ac:dyDescent="0.25">
      <c r="A1119" s="1">
        <v>43728</v>
      </c>
      <c r="B1119" s="5">
        <v>2992.070068</v>
      </c>
      <c r="C1119" s="7">
        <f t="shared" si="33"/>
        <v>1.2744384726348651E-2</v>
      </c>
    </row>
    <row r="1120" spans="1:3" x14ac:dyDescent="0.25">
      <c r="A1120" s="1">
        <v>43731</v>
      </c>
      <c r="B1120" s="5">
        <v>2991.780029</v>
      </c>
      <c r="C1120" s="7">
        <f t="shared" si="33"/>
        <v>1.3907460509594379E-2</v>
      </c>
    </row>
    <row r="1121" spans="1:3" x14ac:dyDescent="0.25">
      <c r="A1121" s="1">
        <v>43732</v>
      </c>
      <c r="B1121" s="5">
        <v>2966.6000979999999</v>
      </c>
      <c r="C1121" s="7">
        <f t="shared" si="33"/>
        <v>7.1888601262073545E-3</v>
      </c>
    </row>
    <row r="1122" spans="1:3" x14ac:dyDescent="0.25">
      <c r="A1122" s="1">
        <v>43733</v>
      </c>
      <c r="B1122" s="5">
        <v>2984.8701169999999</v>
      </c>
      <c r="C1122" s="7">
        <f t="shared" si="33"/>
        <v>2.2870320882307879E-2</v>
      </c>
    </row>
    <row r="1123" spans="1:3" x14ac:dyDescent="0.25">
      <c r="A1123" s="1">
        <v>43734</v>
      </c>
      <c r="B1123" s="5">
        <v>2977.6201169999999</v>
      </c>
      <c r="C1123" s="7">
        <f t="shared" si="33"/>
        <v>2.1673145717502222E-2</v>
      </c>
    </row>
    <row r="1124" spans="1:3" x14ac:dyDescent="0.25">
      <c r="A1124" s="1">
        <v>43735</v>
      </c>
      <c r="B1124" s="5">
        <v>2961.790039</v>
      </c>
      <c r="C1124" s="7">
        <f t="shared" si="33"/>
        <v>1.2526725243027937E-2</v>
      </c>
    </row>
    <row r="1125" spans="1:3" x14ac:dyDescent="0.25">
      <c r="A1125" s="1">
        <v>43738</v>
      </c>
      <c r="B1125" s="5">
        <v>2976.73999</v>
      </c>
      <c r="C1125" s="7">
        <f t="shared" si="33"/>
        <v>1.1820693523108024E-2</v>
      </c>
    </row>
    <row r="1126" spans="1:3" x14ac:dyDescent="0.25">
      <c r="A1126" s="1">
        <v>43739</v>
      </c>
      <c r="B1126" s="5">
        <v>2940.25</v>
      </c>
      <c r="C1126" s="7">
        <f t="shared" si="33"/>
        <v>-8.1564518326837348E-3</v>
      </c>
    </row>
    <row r="1127" spans="1:3" x14ac:dyDescent="0.25">
      <c r="A1127" s="1">
        <v>43740</v>
      </c>
      <c r="B1127" s="5">
        <v>2887.610107</v>
      </c>
      <c r="C1127" s="7">
        <f t="shared" si="33"/>
        <v>-2.9145703564416779E-2</v>
      </c>
    </row>
    <row r="1128" spans="1:3" x14ac:dyDescent="0.25">
      <c r="A1128" s="1">
        <v>43741</v>
      </c>
      <c r="B1128" s="5">
        <v>2910.6298830000001</v>
      </c>
      <c r="C1128" s="7">
        <f t="shared" si="33"/>
        <v>-2.8848494041923769E-2</v>
      </c>
    </row>
    <row r="1129" spans="1:3" x14ac:dyDescent="0.25">
      <c r="A1129" s="1">
        <v>43742</v>
      </c>
      <c r="B1129" s="5">
        <v>2952.01001</v>
      </c>
      <c r="C1129" s="7">
        <f t="shared" si="33"/>
        <v>-1.2924174666523479E-2</v>
      </c>
    </row>
    <row r="1130" spans="1:3" x14ac:dyDescent="0.25">
      <c r="A1130" s="1">
        <v>43745</v>
      </c>
      <c r="B1130" s="5">
        <v>2938.790039</v>
      </c>
      <c r="C1130" s="7">
        <f t="shared" si="33"/>
        <v>-1.2565354009564243E-2</v>
      </c>
    </row>
    <row r="1131" spans="1:3" x14ac:dyDescent="0.25">
      <c r="A1131" s="1">
        <v>43746</v>
      </c>
      <c r="B1131" s="5">
        <v>2893.0600589999999</v>
      </c>
      <c r="C1131" s="7">
        <f t="shared" si="33"/>
        <v>-2.9484306579120528E-2</v>
      </c>
    </row>
    <row r="1132" spans="1:3" x14ac:dyDescent="0.25">
      <c r="A1132" s="1">
        <v>43747</v>
      </c>
      <c r="B1132" s="5">
        <v>2919.3999020000001</v>
      </c>
      <c r="C1132" s="7">
        <f t="shared" si="33"/>
        <v>-2.4921557075530027E-2</v>
      </c>
    </row>
    <row r="1133" spans="1:3" x14ac:dyDescent="0.25">
      <c r="A1133" s="1">
        <v>43748</v>
      </c>
      <c r="B1133" s="5">
        <v>2938.1298830000001</v>
      </c>
      <c r="C1133" s="7">
        <f t="shared" si="33"/>
        <v>-2.0808974144742854E-2</v>
      </c>
    </row>
    <row r="1134" spans="1:3" x14ac:dyDescent="0.25">
      <c r="A1134" s="1">
        <v>43749</v>
      </c>
      <c r="B1134" s="5">
        <v>2970.2700199999999</v>
      </c>
      <c r="C1134" s="7">
        <f t="shared" si="33"/>
        <v>-1.4538928871017912E-2</v>
      </c>
    </row>
    <row r="1135" spans="1:3" x14ac:dyDescent="0.25">
      <c r="A1135" s="1">
        <v>43752</v>
      </c>
      <c r="B1135" s="5">
        <v>2966.1499020000001</v>
      </c>
      <c r="C1135" s="7">
        <f t="shared" si="33"/>
        <v>-1.6102864447809697E-2</v>
      </c>
    </row>
    <row r="1136" spans="1:3" x14ac:dyDescent="0.25">
      <c r="A1136" s="1">
        <v>43753</v>
      </c>
      <c r="B1136" s="5">
        <v>2995.679932</v>
      </c>
      <c r="C1136" s="7">
        <f t="shared" si="33"/>
        <v>-2.7868342026297322E-3</v>
      </c>
    </row>
    <row r="1137" spans="1:3" x14ac:dyDescent="0.25">
      <c r="A1137" s="1">
        <v>43754</v>
      </c>
      <c r="B1137" s="5">
        <v>2989.6899410000001</v>
      </c>
      <c r="C1137" s="7">
        <f t="shared" si="33"/>
        <v>1.7642863917320889E-3</v>
      </c>
    </row>
    <row r="1138" spans="1:3" x14ac:dyDescent="0.25">
      <c r="A1138" s="1">
        <v>43755</v>
      </c>
      <c r="B1138" s="5">
        <v>2997.9499510000001</v>
      </c>
      <c r="C1138" s="7">
        <f t="shared" si="33"/>
        <v>9.4771091397999948E-4</v>
      </c>
    </row>
    <row r="1139" spans="1:3" x14ac:dyDescent="0.25">
      <c r="A1139" s="1">
        <v>43756</v>
      </c>
      <c r="B1139" s="5">
        <v>2986.1999510000001</v>
      </c>
      <c r="C1139" s="7">
        <f t="shared" si="33"/>
        <v>3.2165546696745965E-3</v>
      </c>
    </row>
    <row r="1140" spans="1:3" x14ac:dyDescent="0.25">
      <c r="A1140" s="1">
        <v>43759</v>
      </c>
      <c r="B1140" s="5">
        <v>3006.719971</v>
      </c>
      <c r="C1140" s="7">
        <f t="shared" si="33"/>
        <v>7.2399672027762237E-3</v>
      </c>
    </row>
    <row r="1141" spans="1:3" x14ac:dyDescent="0.25">
      <c r="A1141" s="1">
        <v>43760</v>
      </c>
      <c r="B1141" s="5">
        <v>2995.98999</v>
      </c>
      <c r="C1141" s="7">
        <f t="shared" si="33"/>
        <v>-3.1592275700765282E-3</v>
      </c>
    </row>
    <row r="1142" spans="1:3" x14ac:dyDescent="0.25">
      <c r="A1142" s="1">
        <v>43761</v>
      </c>
      <c r="B1142" s="5">
        <v>3004.5200199999999</v>
      </c>
      <c r="C1142" s="7">
        <f t="shared" si="33"/>
        <v>-4.9933168392382113E-3</v>
      </c>
    </row>
    <row r="1143" spans="1:3" x14ac:dyDescent="0.25">
      <c r="A1143" s="1">
        <v>43762</v>
      </c>
      <c r="B1143" s="5">
        <v>3010.290039</v>
      </c>
      <c r="C1143" s="7">
        <f t="shared" si="33"/>
        <v>2.2015842196793753E-3</v>
      </c>
    </row>
    <row r="1144" spans="1:3" x14ac:dyDescent="0.25">
      <c r="A1144" s="1">
        <v>43763</v>
      </c>
      <c r="B1144" s="5">
        <v>3022.5500489999999</v>
      </c>
      <c r="C1144" s="7">
        <f t="shared" si="33"/>
        <v>-1.0945217817824344E-3</v>
      </c>
    </row>
    <row r="1145" spans="1:3" x14ac:dyDescent="0.25">
      <c r="A1145" s="1">
        <v>43766</v>
      </c>
      <c r="B1145" s="5">
        <v>3039.419922</v>
      </c>
      <c r="C1145" s="7">
        <f t="shared" si="33"/>
        <v>6.0887198099602875E-3</v>
      </c>
    </row>
    <row r="1146" spans="1:3" x14ac:dyDescent="0.25">
      <c r="A1146" s="1">
        <v>43767</v>
      </c>
      <c r="B1146" s="5">
        <v>3036.889893</v>
      </c>
      <c r="C1146" s="7">
        <f t="shared" si="33"/>
        <v>7.8379533023180785E-3</v>
      </c>
    </row>
    <row r="1147" spans="1:3" x14ac:dyDescent="0.25">
      <c r="A1147" s="1">
        <v>43768</v>
      </c>
      <c r="B1147" s="5">
        <v>3046.7700199999999</v>
      </c>
      <c r="C1147" s="7">
        <f t="shared" si="33"/>
        <v>2.203124972660633E-2</v>
      </c>
    </row>
    <row r="1148" spans="1:3" x14ac:dyDescent="0.25">
      <c r="A1148" s="1">
        <v>43769</v>
      </c>
      <c r="B1148" s="5">
        <v>3037.5600589999999</v>
      </c>
      <c r="C1148" s="7">
        <f t="shared" si="33"/>
        <v>2.8043338566129471E-2</v>
      </c>
    </row>
    <row r="1149" spans="1:3" x14ac:dyDescent="0.25">
      <c r="A1149" s="1">
        <v>43770</v>
      </c>
      <c r="B1149" s="5">
        <v>3066.9099120000001</v>
      </c>
      <c r="C1149" s="7">
        <f t="shared" si="33"/>
        <v>4.4968657574863596E-2</v>
      </c>
    </row>
    <row r="1150" spans="1:3" x14ac:dyDescent="0.25">
      <c r="A1150" s="1">
        <v>43773</v>
      </c>
      <c r="B1150" s="5">
        <v>3078.2700199999999</v>
      </c>
      <c r="C1150" s="7">
        <f t="shared" si="33"/>
        <v>7.8896085878819147E-2</v>
      </c>
    </row>
    <row r="1151" spans="1:3" x14ac:dyDescent="0.25">
      <c r="A1151" s="1">
        <v>43774</v>
      </c>
      <c r="B1151" s="5">
        <v>3074.6201169999999</v>
      </c>
      <c r="C1151" s="7">
        <f t="shared" si="33"/>
        <v>6.4776658797522285E-2</v>
      </c>
    </row>
    <row r="1152" spans="1:3" x14ac:dyDescent="0.25">
      <c r="A1152" s="1">
        <v>43775</v>
      </c>
      <c r="B1152" s="5">
        <v>3076.780029</v>
      </c>
      <c r="C1152" s="7">
        <f t="shared" si="33"/>
        <v>6.4712327345643555E-2</v>
      </c>
    </row>
    <row r="1153" spans="1:3" x14ac:dyDescent="0.25">
      <c r="A1153" s="1">
        <v>43776</v>
      </c>
      <c r="B1153" s="5">
        <v>3085.179932</v>
      </c>
      <c r="C1153" s="7">
        <f t="shared" si="33"/>
        <v>4.8850240136269943E-2</v>
      </c>
    </row>
    <row r="1154" spans="1:3" x14ac:dyDescent="0.25">
      <c r="A1154" s="1">
        <v>43777</v>
      </c>
      <c r="B1154" s="5">
        <v>3093.080078</v>
      </c>
      <c r="C1154" s="7">
        <f t="shared" si="33"/>
        <v>5.8046236413149273E-2</v>
      </c>
    </row>
    <row r="1155" spans="1:3" x14ac:dyDescent="0.25">
      <c r="A1155" s="1">
        <v>43780</v>
      </c>
      <c r="B1155" s="5">
        <v>3087.01001</v>
      </c>
      <c r="C1155" s="7">
        <f t="shared" ref="C1155:C1218" si="34">LN(B1155/B1091)</f>
        <v>6.8475650173909136E-2</v>
      </c>
    </row>
    <row r="1156" spans="1:3" x14ac:dyDescent="0.25">
      <c r="A1156" s="1">
        <v>43781</v>
      </c>
      <c r="B1156" s="5">
        <v>3091.8400879999999</v>
      </c>
      <c r="C1156" s="7">
        <f t="shared" si="34"/>
        <v>5.5020727230507507E-2</v>
      </c>
    </row>
    <row r="1157" spans="1:3" x14ac:dyDescent="0.25">
      <c r="A1157" s="1">
        <v>43782</v>
      </c>
      <c r="B1157" s="5">
        <v>3094.040039</v>
      </c>
      <c r="C1157" s="7">
        <f t="shared" si="34"/>
        <v>8.5462360955763109E-2</v>
      </c>
    </row>
    <row r="1158" spans="1:3" x14ac:dyDescent="0.25">
      <c r="A1158" s="1">
        <v>43783</v>
      </c>
      <c r="B1158" s="5">
        <v>3096.6298830000001</v>
      </c>
      <c r="C1158" s="7">
        <f t="shared" si="34"/>
        <v>8.3837816953086702E-2</v>
      </c>
    </row>
    <row r="1159" spans="1:3" x14ac:dyDescent="0.25">
      <c r="A1159" s="1">
        <v>43784</v>
      </c>
      <c r="B1159" s="5">
        <v>3120.459961</v>
      </c>
      <c r="C1159" s="7">
        <f t="shared" si="34"/>
        <v>7.7180787514601959E-2</v>
      </c>
    </row>
    <row r="1160" spans="1:3" x14ac:dyDescent="0.25">
      <c r="A1160" s="1">
        <v>43787</v>
      </c>
      <c r="B1160" s="5">
        <v>3122.030029</v>
      </c>
      <c r="C1160" s="7">
        <f t="shared" si="34"/>
        <v>6.5650638399878211E-2</v>
      </c>
    </row>
    <row r="1161" spans="1:3" x14ac:dyDescent="0.25">
      <c r="A1161" s="1">
        <v>43788</v>
      </c>
      <c r="B1161" s="5">
        <v>3120.179932</v>
      </c>
      <c r="C1161" s="7">
        <f t="shared" si="34"/>
        <v>7.3004083624188879E-2</v>
      </c>
    </row>
    <row r="1162" spans="1:3" x14ac:dyDescent="0.25">
      <c r="A1162" s="1">
        <v>43789</v>
      </c>
      <c r="B1162" s="5">
        <v>3108.459961</v>
      </c>
      <c r="C1162" s="7">
        <f t="shared" si="34"/>
        <v>6.1027847508741143E-2</v>
      </c>
    </row>
    <row r="1163" spans="1:3" x14ac:dyDescent="0.25">
      <c r="A1163" s="1">
        <v>43790</v>
      </c>
      <c r="B1163" s="5">
        <v>3103.540039</v>
      </c>
      <c r="C1163" s="7">
        <f t="shared" si="34"/>
        <v>5.9950044523274675E-2</v>
      </c>
    </row>
    <row r="1164" spans="1:3" x14ac:dyDescent="0.25">
      <c r="A1164" s="1">
        <v>43791</v>
      </c>
      <c r="B1164" s="5">
        <v>3110.290039</v>
      </c>
      <c r="C1164" s="7">
        <f t="shared" si="34"/>
        <v>8.8411499677906874E-2</v>
      </c>
    </row>
    <row r="1165" spans="1:3" x14ac:dyDescent="0.25">
      <c r="A1165" s="1">
        <v>43794</v>
      </c>
      <c r="B1165" s="5">
        <v>3133.639893</v>
      </c>
      <c r="C1165" s="7">
        <f t="shared" si="34"/>
        <v>8.4967638775981125E-2</v>
      </c>
    </row>
    <row r="1166" spans="1:3" x14ac:dyDescent="0.25">
      <c r="A1166" s="1">
        <v>43795</v>
      </c>
      <c r="B1166" s="5">
        <v>3140.5200199999999</v>
      </c>
      <c r="C1166" s="7">
        <f t="shared" si="34"/>
        <v>9.036912433937011E-2</v>
      </c>
    </row>
    <row r="1167" spans="1:3" x14ac:dyDescent="0.25">
      <c r="A1167" s="1">
        <v>43796</v>
      </c>
      <c r="B1167" s="5">
        <v>3153.6298830000001</v>
      </c>
      <c r="C1167" s="7">
        <f t="shared" si="34"/>
        <v>8.801070844685438E-2</v>
      </c>
    </row>
    <row r="1168" spans="1:3" x14ac:dyDescent="0.25">
      <c r="A1168" s="1">
        <v>43798</v>
      </c>
      <c r="B1168" s="5">
        <v>3140.9799800000001</v>
      </c>
      <c r="C1168" s="7">
        <f t="shared" si="34"/>
        <v>7.1383939469148658E-2</v>
      </c>
    </row>
    <row r="1169" spans="1:3" x14ac:dyDescent="0.25">
      <c r="A1169" s="1">
        <v>43801</v>
      </c>
      <c r="B1169" s="5">
        <v>3113.8701169999999</v>
      </c>
      <c r="C1169" s="7">
        <f t="shared" si="34"/>
        <v>6.2072875040232484E-2</v>
      </c>
    </row>
    <row r="1170" spans="1:3" x14ac:dyDescent="0.25">
      <c r="A1170" s="1">
        <v>43802</v>
      </c>
      <c r="B1170" s="5">
        <v>3093.1999510000001</v>
      </c>
      <c r="C1170" s="7">
        <f t="shared" si="34"/>
        <v>6.2335658979589592E-2</v>
      </c>
    </row>
    <row r="1171" spans="1:3" x14ac:dyDescent="0.25">
      <c r="A1171" s="1">
        <v>43803</v>
      </c>
      <c r="B1171" s="5">
        <v>3112.76001</v>
      </c>
      <c r="C1171" s="7">
        <f t="shared" si="34"/>
        <v>5.7855591703141883E-2</v>
      </c>
    </row>
    <row r="1172" spans="1:3" x14ac:dyDescent="0.25">
      <c r="A1172" s="1">
        <v>43804</v>
      </c>
      <c r="B1172" s="5">
        <v>3117.429932</v>
      </c>
      <c r="C1172" s="7">
        <f t="shared" si="34"/>
        <v>4.6428805646942524E-2</v>
      </c>
    </row>
    <row r="1173" spans="1:3" x14ac:dyDescent="0.25">
      <c r="A1173" s="1">
        <v>43805</v>
      </c>
      <c r="B1173" s="5">
        <v>3145.9099120000001</v>
      </c>
      <c r="C1173" s="7">
        <f t="shared" si="34"/>
        <v>5.4612860701962904E-2</v>
      </c>
    </row>
    <row r="1174" spans="1:3" x14ac:dyDescent="0.25">
      <c r="A1174" s="1">
        <v>43808</v>
      </c>
      <c r="B1174" s="5">
        <v>3135.959961</v>
      </c>
      <c r="C1174" s="7">
        <f t="shared" si="34"/>
        <v>5.153904165140874E-2</v>
      </c>
    </row>
    <row r="1175" spans="1:3" x14ac:dyDescent="0.25">
      <c r="A1175" s="1">
        <v>43809</v>
      </c>
      <c r="B1175" s="5">
        <v>3132.5200199999999</v>
      </c>
      <c r="C1175" s="7">
        <f t="shared" si="34"/>
        <v>5.0119253165264756E-2</v>
      </c>
    </row>
    <row r="1176" spans="1:3" x14ac:dyDescent="0.25">
      <c r="A1176" s="1">
        <v>43810</v>
      </c>
      <c r="B1176" s="5">
        <v>3141.6298830000001</v>
      </c>
      <c r="C1176" s="7">
        <f t="shared" si="34"/>
        <v>4.5819518300114069E-2</v>
      </c>
    </row>
    <row r="1177" spans="1:3" x14ac:dyDescent="0.25">
      <c r="A1177" s="1">
        <v>43811</v>
      </c>
      <c r="B1177" s="5">
        <v>3168.570068</v>
      </c>
      <c r="C1177" s="7">
        <f t="shared" si="34"/>
        <v>5.1483169463500067E-2</v>
      </c>
    </row>
    <row r="1178" spans="1:3" x14ac:dyDescent="0.25">
      <c r="A1178" s="1">
        <v>43812</v>
      </c>
      <c r="B1178" s="5">
        <v>3168.8000489999999</v>
      </c>
      <c r="C1178" s="7">
        <f t="shared" si="34"/>
        <v>5.2280425398649119E-2</v>
      </c>
    </row>
    <row r="1179" spans="1:3" x14ac:dyDescent="0.25">
      <c r="A1179" s="1">
        <v>43815</v>
      </c>
      <c r="B1179" s="5">
        <v>3191.4499510000001</v>
      </c>
      <c r="C1179" s="7">
        <f t="shared" si="34"/>
        <v>6.2543299268885355E-2</v>
      </c>
    </row>
    <row r="1180" spans="1:3" x14ac:dyDescent="0.25">
      <c r="A1180" s="1">
        <v>43816</v>
      </c>
      <c r="B1180" s="5">
        <v>3192.5200199999999</v>
      </c>
      <c r="C1180" s="7">
        <f t="shared" si="34"/>
        <v>6.030011020359724E-2</v>
      </c>
    </row>
    <row r="1181" spans="1:3" x14ac:dyDescent="0.25">
      <c r="A1181" s="1">
        <v>43817</v>
      </c>
      <c r="B1181" s="5">
        <v>3191.139893</v>
      </c>
      <c r="C1181" s="7">
        <f t="shared" si="34"/>
        <v>5.9525083362899141E-2</v>
      </c>
    </row>
    <row r="1182" spans="1:3" x14ac:dyDescent="0.25">
      <c r="A1182" s="1">
        <v>43818</v>
      </c>
      <c r="B1182" s="5">
        <v>3205.3701169999999</v>
      </c>
      <c r="C1182" s="7">
        <f t="shared" si="34"/>
        <v>6.3954487337022317E-2</v>
      </c>
    </row>
    <row r="1183" spans="1:3" x14ac:dyDescent="0.25">
      <c r="A1183" s="1">
        <v>43819</v>
      </c>
      <c r="B1183" s="5">
        <v>3221.219971</v>
      </c>
      <c r="C1183" s="7">
        <f t="shared" si="34"/>
        <v>7.3794682496217595E-2</v>
      </c>
    </row>
    <row r="1184" spans="1:3" x14ac:dyDescent="0.25">
      <c r="A1184" s="1">
        <v>43822</v>
      </c>
      <c r="B1184" s="5">
        <v>3224.01001</v>
      </c>
      <c r="C1184" s="7">
        <f t="shared" si="34"/>
        <v>7.4757391787999103E-2</v>
      </c>
    </row>
    <row r="1185" spans="1:3" x14ac:dyDescent="0.25">
      <c r="A1185" s="1">
        <v>43823</v>
      </c>
      <c r="B1185" s="5">
        <v>3223.3798830000001</v>
      </c>
      <c r="C1185" s="7">
        <f t="shared" si="34"/>
        <v>8.3013913219450883E-2</v>
      </c>
    </row>
    <row r="1186" spans="1:3" x14ac:dyDescent="0.25">
      <c r="A1186" s="1">
        <v>43825</v>
      </c>
      <c r="B1186" s="5">
        <v>3239.9099120000001</v>
      </c>
      <c r="C1186" s="7">
        <f t="shared" si="34"/>
        <v>8.1989290474303853E-2</v>
      </c>
    </row>
    <row r="1187" spans="1:3" x14ac:dyDescent="0.25">
      <c r="A1187" s="1">
        <v>43826</v>
      </c>
      <c r="B1187" s="5">
        <v>3240.0200199999999</v>
      </c>
      <c r="C1187" s="7">
        <f t="shared" si="34"/>
        <v>8.4455145802161638E-2</v>
      </c>
    </row>
    <row r="1188" spans="1:3" x14ac:dyDescent="0.25">
      <c r="A1188" s="1">
        <v>43829</v>
      </c>
      <c r="B1188" s="5">
        <v>3221.290039</v>
      </c>
      <c r="C1188" s="7">
        <f t="shared" si="34"/>
        <v>8.3988084095995397E-2</v>
      </c>
    </row>
    <row r="1189" spans="1:3" x14ac:dyDescent="0.25">
      <c r="A1189" s="1">
        <v>43830</v>
      </c>
      <c r="B1189" s="5">
        <v>3230.780029</v>
      </c>
      <c r="C1189" s="7">
        <f t="shared" si="34"/>
        <v>8.189486451008357E-2</v>
      </c>
    </row>
    <row r="1190" spans="1:3" x14ac:dyDescent="0.25">
      <c r="A1190" s="1">
        <v>43832</v>
      </c>
      <c r="B1190" s="5">
        <v>3257.8500979999999</v>
      </c>
      <c r="C1190" s="7">
        <f t="shared" si="34"/>
        <v>0.10257288693648174</v>
      </c>
    </row>
    <row r="1191" spans="1:3" x14ac:dyDescent="0.25">
      <c r="A1191" s="1">
        <v>43833</v>
      </c>
      <c r="B1191" s="5">
        <v>3234.8500979999999</v>
      </c>
      <c r="C1191" s="7">
        <f t="shared" si="34"/>
        <v>0.11355338190601943</v>
      </c>
    </row>
    <row r="1192" spans="1:3" x14ac:dyDescent="0.25">
      <c r="A1192" s="1">
        <v>43836</v>
      </c>
      <c r="B1192" s="5">
        <v>3246.280029</v>
      </c>
      <c r="C1192" s="7">
        <f t="shared" si="34"/>
        <v>0.10914022191819256</v>
      </c>
    </row>
    <row r="1193" spans="1:3" x14ac:dyDescent="0.25">
      <c r="A1193" s="1">
        <v>43837</v>
      </c>
      <c r="B1193" s="5">
        <v>3237.179932</v>
      </c>
      <c r="C1193" s="7">
        <f t="shared" si="34"/>
        <v>9.2216261781828304E-2</v>
      </c>
    </row>
    <row r="1194" spans="1:3" x14ac:dyDescent="0.25">
      <c r="A1194" s="1">
        <v>43838</v>
      </c>
      <c r="B1194" s="5">
        <v>3253.0500489999999</v>
      </c>
      <c r="C1194" s="7">
        <f t="shared" si="34"/>
        <v>0.10159508758363335</v>
      </c>
    </row>
    <row r="1195" spans="1:3" x14ac:dyDescent="0.25">
      <c r="A1195" s="1">
        <v>43839</v>
      </c>
      <c r="B1195" s="5">
        <v>3274.6999510000001</v>
      </c>
      <c r="C1195" s="7">
        <f t="shared" si="34"/>
        <v>0.12391146098563968</v>
      </c>
    </row>
    <row r="1196" spans="1:3" x14ac:dyDescent="0.25">
      <c r="A1196" s="1">
        <v>43840</v>
      </c>
      <c r="B1196" s="5">
        <v>3265.3500979999999</v>
      </c>
      <c r="C1196" s="7">
        <f t="shared" si="34"/>
        <v>0.1119889023992155</v>
      </c>
    </row>
    <row r="1197" spans="1:3" x14ac:dyDescent="0.25">
      <c r="A1197" s="1">
        <v>43843</v>
      </c>
      <c r="B1197" s="5">
        <v>3288.1298830000001</v>
      </c>
      <c r="C1197" s="7">
        <f t="shared" si="34"/>
        <v>0.11254569380355464</v>
      </c>
    </row>
    <row r="1198" spans="1:3" x14ac:dyDescent="0.25">
      <c r="A1198" s="1">
        <v>43844</v>
      </c>
      <c r="B1198" s="5">
        <v>3283.1499020000001</v>
      </c>
      <c r="C1198" s="7">
        <f t="shared" si="34"/>
        <v>0.10015043303714749</v>
      </c>
    </row>
    <row r="1199" spans="1:3" x14ac:dyDescent="0.25">
      <c r="A1199" s="1">
        <v>43845</v>
      </c>
      <c r="B1199" s="5">
        <v>3289.290039</v>
      </c>
      <c r="C1199" s="7">
        <f t="shared" si="34"/>
        <v>0.10340696531345944</v>
      </c>
    </row>
    <row r="1200" spans="1:3" x14ac:dyDescent="0.25">
      <c r="A1200" s="1">
        <v>43846</v>
      </c>
      <c r="B1200" s="5">
        <v>3316.8100589999999</v>
      </c>
      <c r="C1200" s="7">
        <f t="shared" si="34"/>
        <v>0.10183226726483004</v>
      </c>
    </row>
    <row r="1201" spans="1:3" x14ac:dyDescent="0.25">
      <c r="A1201" s="1">
        <v>43847</v>
      </c>
      <c r="B1201" s="5">
        <v>3329.6201169999999</v>
      </c>
      <c r="C1201" s="7">
        <f t="shared" si="34"/>
        <v>0.10768853514256216</v>
      </c>
    </row>
    <row r="1202" spans="1:3" x14ac:dyDescent="0.25">
      <c r="A1202" s="1">
        <v>43851</v>
      </c>
      <c r="B1202" s="5">
        <v>3320.790039</v>
      </c>
      <c r="C1202" s="7">
        <f t="shared" si="34"/>
        <v>0.10227401276214045</v>
      </c>
    </row>
    <row r="1203" spans="1:3" x14ac:dyDescent="0.25">
      <c r="A1203" s="1">
        <v>43852</v>
      </c>
      <c r="B1203" s="5">
        <v>3321.75</v>
      </c>
      <c r="C1203" s="7">
        <f t="shared" si="34"/>
        <v>0.10649009278766776</v>
      </c>
    </row>
    <row r="1204" spans="1:3" x14ac:dyDescent="0.25">
      <c r="A1204" s="1">
        <v>43853</v>
      </c>
      <c r="B1204" s="5">
        <v>3325.540039</v>
      </c>
      <c r="C1204" s="7">
        <f t="shared" si="34"/>
        <v>0.10078230470060472</v>
      </c>
    </row>
    <row r="1205" spans="1:3" x14ac:dyDescent="0.25">
      <c r="A1205" s="1">
        <v>43854</v>
      </c>
      <c r="B1205" s="5">
        <v>3295.469971</v>
      </c>
      <c r="C1205" s="7">
        <f t="shared" si="34"/>
        <v>9.5274064818634346E-2</v>
      </c>
    </row>
    <row r="1206" spans="1:3" x14ac:dyDescent="0.25">
      <c r="A1206" s="1">
        <v>43857</v>
      </c>
      <c r="B1206" s="5">
        <v>3243.6298830000001</v>
      </c>
      <c r="C1206" s="7">
        <f t="shared" si="34"/>
        <v>7.6575208849434764E-2</v>
      </c>
    </row>
    <row r="1207" spans="1:3" x14ac:dyDescent="0.25">
      <c r="A1207" s="1">
        <v>43858</v>
      </c>
      <c r="B1207" s="5">
        <v>3276.23999</v>
      </c>
      <c r="C1207" s="7">
        <f t="shared" si="34"/>
        <v>8.4659987738049725E-2</v>
      </c>
    </row>
    <row r="1208" spans="1:3" x14ac:dyDescent="0.25">
      <c r="A1208" s="1">
        <v>43859</v>
      </c>
      <c r="B1208" s="5">
        <v>3273.3999020000001</v>
      </c>
      <c r="C1208" s="7">
        <f t="shared" si="34"/>
        <v>7.9728307972707427E-2</v>
      </c>
    </row>
    <row r="1209" spans="1:3" x14ac:dyDescent="0.25">
      <c r="A1209" s="1">
        <v>43860</v>
      </c>
      <c r="B1209" s="5">
        <v>3283.6599120000001</v>
      </c>
      <c r="C1209" s="7">
        <f t="shared" si="34"/>
        <v>7.7291945074243071E-2</v>
      </c>
    </row>
    <row r="1210" spans="1:3" x14ac:dyDescent="0.25">
      <c r="A1210" s="1">
        <v>43861</v>
      </c>
      <c r="B1210" s="5">
        <v>3225.5200199999999</v>
      </c>
      <c r="C1210" s="7">
        <f t="shared" si="34"/>
        <v>6.0260253540204617E-2</v>
      </c>
    </row>
    <row r="1211" spans="1:3" x14ac:dyDescent="0.25">
      <c r="A1211" s="1">
        <v>43864</v>
      </c>
      <c r="B1211" s="5">
        <v>3248.919922</v>
      </c>
      <c r="C1211" s="7">
        <f t="shared" si="34"/>
        <v>6.424058977879421E-2</v>
      </c>
    </row>
    <row r="1212" spans="1:3" x14ac:dyDescent="0.25">
      <c r="A1212" s="1">
        <v>43865</v>
      </c>
      <c r="B1212" s="5">
        <v>3297.5900879999999</v>
      </c>
      <c r="C1212" s="7">
        <f t="shared" si="34"/>
        <v>8.2137344345642349E-2</v>
      </c>
    </row>
    <row r="1213" spans="1:3" x14ac:dyDescent="0.25">
      <c r="A1213" s="1">
        <v>43866</v>
      </c>
      <c r="B1213" s="5">
        <v>3334.6899410000001</v>
      </c>
      <c r="C1213" s="7">
        <f t="shared" si="34"/>
        <v>8.3709192459379148E-2</v>
      </c>
    </row>
    <row r="1214" spans="1:3" x14ac:dyDescent="0.25">
      <c r="A1214" s="1">
        <v>43867</v>
      </c>
      <c r="B1214" s="5">
        <v>3345.780029</v>
      </c>
      <c r="C1214" s="7">
        <f t="shared" si="34"/>
        <v>8.3332101556222948E-2</v>
      </c>
    </row>
    <row r="1215" spans="1:3" x14ac:dyDescent="0.25">
      <c r="A1215" s="1">
        <v>43868</v>
      </c>
      <c r="B1215" s="5">
        <v>3327.709961</v>
      </c>
      <c r="C1215" s="7">
        <f t="shared" si="34"/>
        <v>7.9103013579358353E-2</v>
      </c>
    </row>
    <row r="1216" spans="1:3" x14ac:dyDescent="0.25">
      <c r="A1216" s="1">
        <v>43871</v>
      </c>
      <c r="B1216" s="5">
        <v>3352.0900879999999</v>
      </c>
      <c r="C1216" s="7">
        <f t="shared" si="34"/>
        <v>8.5700453156994941E-2</v>
      </c>
    </row>
    <row r="1217" spans="1:3" x14ac:dyDescent="0.25">
      <c r="A1217" s="1">
        <v>43872</v>
      </c>
      <c r="B1217" s="5">
        <v>3357.75</v>
      </c>
      <c r="C1217" s="7">
        <f t="shared" si="34"/>
        <v>8.4661126353114471E-2</v>
      </c>
    </row>
    <row r="1218" spans="1:3" x14ac:dyDescent="0.25">
      <c r="A1218" s="1">
        <v>43873</v>
      </c>
      <c r="B1218" s="5">
        <v>3379.4499510000001</v>
      </c>
      <c r="C1218" s="7">
        <f t="shared" si="34"/>
        <v>8.8545576419239921E-2</v>
      </c>
    </row>
    <row r="1219" spans="1:3" x14ac:dyDescent="0.25">
      <c r="A1219" s="1">
        <v>43874</v>
      </c>
      <c r="B1219" s="5">
        <v>3373.9399410000001</v>
      </c>
      <c r="C1219" s="7">
        <f t="shared" ref="C1219:C1260" si="35">LN(B1219/B1155)</f>
        <v>8.8878195286703307E-2</v>
      </c>
    </row>
    <row r="1220" spans="1:3" x14ac:dyDescent="0.25">
      <c r="A1220" s="1">
        <v>43875</v>
      </c>
      <c r="B1220" s="5">
        <v>3380.1599120000001</v>
      </c>
      <c r="C1220" s="7">
        <f t="shared" si="35"/>
        <v>8.9156608212523664E-2</v>
      </c>
    </row>
    <row r="1221" spans="1:3" x14ac:dyDescent="0.25">
      <c r="A1221" s="1">
        <v>43879</v>
      </c>
      <c r="B1221" s="5">
        <v>3370.290039</v>
      </c>
      <c r="C1221" s="7">
        <f t="shared" si="35"/>
        <v>8.5521112725648579E-2</v>
      </c>
    </row>
    <row r="1222" spans="1:3" x14ac:dyDescent="0.25">
      <c r="A1222" s="1">
        <v>43880</v>
      </c>
      <c r="B1222" s="5">
        <v>3386.1499020000001</v>
      </c>
      <c r="C1222" s="7">
        <f t="shared" si="35"/>
        <v>8.9379168231755055E-2</v>
      </c>
    </row>
    <row r="1223" spans="1:3" x14ac:dyDescent="0.25">
      <c r="A1223" s="1">
        <v>43881</v>
      </c>
      <c r="B1223" s="5">
        <v>3373.2299800000001</v>
      </c>
      <c r="C1223" s="7">
        <f t="shared" si="35"/>
        <v>7.7890322028859552E-2</v>
      </c>
    </row>
    <row r="1224" spans="1:3" x14ac:dyDescent="0.25">
      <c r="A1224" s="1">
        <v>43882</v>
      </c>
      <c r="B1224" s="5">
        <v>3337.75</v>
      </c>
      <c r="C1224" s="7">
        <f t="shared" si="35"/>
        <v>6.6813486727311397E-2</v>
      </c>
    </row>
    <row r="1225" spans="1:3" x14ac:dyDescent="0.25">
      <c r="A1225" s="1">
        <v>43885</v>
      </c>
      <c r="B1225" s="5">
        <v>3225.889893</v>
      </c>
      <c r="C1225" s="7">
        <f t="shared" si="35"/>
        <v>3.3318177327072998E-2</v>
      </c>
    </row>
    <row r="1226" spans="1:3" x14ac:dyDescent="0.25">
      <c r="A1226" s="1">
        <v>43886</v>
      </c>
      <c r="B1226" s="5">
        <v>3128.209961</v>
      </c>
      <c r="C1226" s="7">
        <f t="shared" si="35"/>
        <v>6.3335293569336919E-3</v>
      </c>
    </row>
    <row r="1227" spans="1:3" x14ac:dyDescent="0.25">
      <c r="A1227" s="1">
        <v>43887</v>
      </c>
      <c r="B1227" s="5">
        <v>3116.389893</v>
      </c>
      <c r="C1227" s="7">
        <f t="shared" si="35"/>
        <v>4.1318382752313669E-3</v>
      </c>
    </row>
    <row r="1228" spans="1:3" x14ac:dyDescent="0.25">
      <c r="A1228" s="1">
        <v>43888</v>
      </c>
      <c r="B1228" s="5">
        <v>2978.76001</v>
      </c>
      <c r="C1228" s="7">
        <f t="shared" si="35"/>
        <v>-4.3208872076140485E-2</v>
      </c>
    </row>
    <row r="1229" spans="1:3" x14ac:dyDescent="0.25">
      <c r="A1229" s="1">
        <v>43889</v>
      </c>
      <c r="B1229" s="5">
        <v>2954.219971</v>
      </c>
      <c r="C1229" s="7">
        <f t="shared" si="35"/>
        <v>-5.8960587206173254E-2</v>
      </c>
    </row>
    <row r="1230" spans="1:3" x14ac:dyDescent="0.25">
      <c r="A1230" s="1">
        <v>43892</v>
      </c>
      <c r="B1230" s="5">
        <v>3090.2299800000001</v>
      </c>
      <c r="C1230" s="7">
        <f t="shared" si="35"/>
        <v>-1.6142882348510725E-2</v>
      </c>
    </row>
    <row r="1231" spans="1:3" x14ac:dyDescent="0.25">
      <c r="A1231" s="1">
        <v>43893</v>
      </c>
      <c r="B1231" s="5">
        <v>3003.3701169999999</v>
      </c>
      <c r="C1231" s="7">
        <f t="shared" si="35"/>
        <v>-4.8819102717663827E-2</v>
      </c>
    </row>
    <row r="1232" spans="1:3" x14ac:dyDescent="0.25">
      <c r="A1232" s="1">
        <v>43894</v>
      </c>
      <c r="B1232" s="5">
        <v>3130.1201169999999</v>
      </c>
      <c r="C1232" s="7">
        <f t="shared" si="35"/>
        <v>-3.4634669158213056E-3</v>
      </c>
    </row>
    <row r="1233" spans="1:3" x14ac:dyDescent="0.25">
      <c r="A1233" s="1">
        <v>43895</v>
      </c>
      <c r="B1233" s="5">
        <v>3023.9399410000001</v>
      </c>
      <c r="C1233" s="7">
        <f t="shared" si="35"/>
        <v>-2.9305765825303809E-2</v>
      </c>
    </row>
    <row r="1234" spans="1:3" x14ac:dyDescent="0.25">
      <c r="A1234" s="1">
        <v>43896</v>
      </c>
      <c r="B1234" s="5">
        <v>2972.3701169999999</v>
      </c>
      <c r="C1234" s="7">
        <f t="shared" si="35"/>
        <v>-3.9846484153030347E-2</v>
      </c>
    </row>
    <row r="1235" spans="1:3" x14ac:dyDescent="0.25">
      <c r="A1235" s="1">
        <v>43899</v>
      </c>
      <c r="B1235" s="5">
        <v>2746.5600589999999</v>
      </c>
      <c r="C1235" s="7">
        <f t="shared" si="35"/>
        <v>-0.12516055462203896</v>
      </c>
    </row>
    <row r="1236" spans="1:3" x14ac:dyDescent="0.25">
      <c r="A1236" s="1">
        <v>43900</v>
      </c>
      <c r="B1236" s="5">
        <v>2882.2299800000001</v>
      </c>
      <c r="C1236" s="7">
        <f t="shared" si="35"/>
        <v>-7.8444629473341188E-2</v>
      </c>
    </row>
    <row r="1237" spans="1:3" x14ac:dyDescent="0.25">
      <c r="A1237" s="1">
        <v>43901</v>
      </c>
      <c r="B1237" s="5">
        <v>2741.3798830000001</v>
      </c>
      <c r="C1237" s="7">
        <f t="shared" si="35"/>
        <v>-0.13764176793129518</v>
      </c>
    </row>
    <row r="1238" spans="1:3" x14ac:dyDescent="0.25">
      <c r="A1238" s="1">
        <v>43902</v>
      </c>
      <c r="B1238" s="5">
        <v>2480.639893</v>
      </c>
      <c r="C1238" s="7">
        <f t="shared" si="35"/>
        <v>-0.23441878660232096</v>
      </c>
    </row>
    <row r="1239" spans="1:3" x14ac:dyDescent="0.25">
      <c r="A1239" s="1">
        <v>43903</v>
      </c>
      <c r="B1239" s="5">
        <v>2711.0200199999999</v>
      </c>
      <c r="C1239" s="7">
        <f t="shared" si="35"/>
        <v>-0.14451284361097219</v>
      </c>
    </row>
    <row r="1240" spans="1:3" x14ac:dyDescent="0.25">
      <c r="A1240" s="1">
        <v>43906</v>
      </c>
      <c r="B1240" s="5">
        <v>2386.1298830000001</v>
      </c>
      <c r="C1240" s="7">
        <f t="shared" si="35"/>
        <v>-0.27506897861750906</v>
      </c>
    </row>
    <row r="1241" spans="1:3" x14ac:dyDescent="0.25">
      <c r="A1241" s="1">
        <v>43907</v>
      </c>
      <c r="B1241" s="5">
        <v>2529.1899410000001</v>
      </c>
      <c r="C1241" s="7">
        <f t="shared" si="35"/>
        <v>-0.22538133342347505</v>
      </c>
    </row>
    <row r="1242" spans="1:3" x14ac:dyDescent="0.25">
      <c r="A1242" s="1">
        <v>43908</v>
      </c>
      <c r="B1242" s="5">
        <v>2398.1000979999999</v>
      </c>
      <c r="C1242" s="7">
        <f t="shared" si="35"/>
        <v>-0.27867618476946127</v>
      </c>
    </row>
    <row r="1243" spans="1:3" x14ac:dyDescent="0.25">
      <c r="A1243" s="1">
        <v>43909</v>
      </c>
      <c r="B1243" s="5">
        <v>2409.389893</v>
      </c>
      <c r="C1243" s="7">
        <f t="shared" si="35"/>
        <v>-0.28110178460175506</v>
      </c>
    </row>
    <row r="1244" spans="1:3" x14ac:dyDescent="0.25">
      <c r="A1244" s="1">
        <v>43910</v>
      </c>
      <c r="B1244" s="5">
        <v>2304.919922</v>
      </c>
      <c r="C1244" s="7">
        <f t="shared" si="35"/>
        <v>-0.32576464500512958</v>
      </c>
    </row>
    <row r="1245" spans="1:3" x14ac:dyDescent="0.25">
      <c r="A1245" s="1">
        <v>43913</v>
      </c>
      <c r="B1245" s="5">
        <v>2237.3999020000001</v>
      </c>
      <c r="C1245" s="7">
        <f t="shared" si="35"/>
        <v>-0.35506375256742811</v>
      </c>
    </row>
    <row r="1246" spans="1:3" x14ac:dyDescent="0.25">
      <c r="A1246" s="1">
        <v>43914</v>
      </c>
      <c r="B1246" s="5">
        <v>2447.330078</v>
      </c>
      <c r="C1246" s="7">
        <f t="shared" si="35"/>
        <v>-0.26982989857806949</v>
      </c>
    </row>
    <row r="1247" spans="1:3" x14ac:dyDescent="0.25">
      <c r="A1247" s="1">
        <v>43915</v>
      </c>
      <c r="B1247" s="5">
        <v>2475.5600589999999</v>
      </c>
      <c r="C1247" s="7">
        <f t="shared" si="35"/>
        <v>-0.26329350389705897</v>
      </c>
    </row>
    <row r="1248" spans="1:3" x14ac:dyDescent="0.25">
      <c r="A1248" s="1">
        <v>43916</v>
      </c>
      <c r="B1248" s="5">
        <v>2630.070068</v>
      </c>
      <c r="C1248" s="7">
        <f t="shared" si="35"/>
        <v>-0.20361544181839042</v>
      </c>
    </row>
    <row r="1249" spans="1:3" x14ac:dyDescent="0.25">
      <c r="A1249" s="1">
        <v>43917</v>
      </c>
      <c r="B1249" s="5">
        <v>2541.469971</v>
      </c>
      <c r="C1249" s="7">
        <f t="shared" si="35"/>
        <v>-0.23768781978956746</v>
      </c>
    </row>
    <row r="1250" spans="1:3" x14ac:dyDescent="0.25">
      <c r="A1250" s="1">
        <v>43920</v>
      </c>
      <c r="B1250" s="5">
        <v>2626.6499020000001</v>
      </c>
      <c r="C1250" s="7">
        <f t="shared" si="35"/>
        <v>-0.2098362917854017</v>
      </c>
    </row>
    <row r="1251" spans="1:3" x14ac:dyDescent="0.25">
      <c r="A1251" s="1">
        <v>43921</v>
      </c>
      <c r="B1251" s="5">
        <v>2584.5900879999999</v>
      </c>
      <c r="C1251" s="7">
        <f t="shared" si="35"/>
        <v>-0.22601258671872093</v>
      </c>
    </row>
    <row r="1252" spans="1:3" x14ac:dyDescent="0.25">
      <c r="A1252" s="1">
        <v>43922</v>
      </c>
      <c r="B1252" s="5">
        <v>2470.5</v>
      </c>
      <c r="C1252" s="7">
        <f t="shared" si="35"/>
        <v>-0.26536135325039883</v>
      </c>
    </row>
    <row r="1253" spans="1:3" x14ac:dyDescent="0.25">
      <c r="A1253" s="1">
        <v>43923</v>
      </c>
      <c r="B1253" s="5">
        <v>2526.8999020000001</v>
      </c>
      <c r="C1253" s="7">
        <f t="shared" si="35"/>
        <v>-0.2457303869011781</v>
      </c>
    </row>
    <row r="1254" spans="1:3" x14ac:dyDescent="0.25">
      <c r="A1254" s="1">
        <v>43924</v>
      </c>
      <c r="B1254" s="5">
        <v>2488.6499020000001</v>
      </c>
      <c r="C1254" s="7">
        <f t="shared" si="35"/>
        <v>-0.26932714328893403</v>
      </c>
    </row>
    <row r="1255" spans="1:3" x14ac:dyDescent="0.25">
      <c r="A1255" s="1">
        <v>43927</v>
      </c>
      <c r="B1255" s="5">
        <v>2663.679932</v>
      </c>
      <c r="C1255" s="7">
        <f t="shared" si="35"/>
        <v>-0.19427398950685534</v>
      </c>
    </row>
    <row r="1256" spans="1:3" x14ac:dyDescent="0.25">
      <c r="A1256" s="1">
        <v>43928</v>
      </c>
      <c r="B1256" s="5">
        <v>2659.4099120000001</v>
      </c>
      <c r="C1256" s="7">
        <f t="shared" si="35"/>
        <v>-0.19940547372781933</v>
      </c>
    </row>
    <row r="1257" spans="1:3" x14ac:dyDescent="0.25">
      <c r="A1257" s="1">
        <v>43929</v>
      </c>
      <c r="B1257" s="5">
        <v>2749.9799800000001</v>
      </c>
      <c r="C1257" s="7">
        <f t="shared" si="35"/>
        <v>-0.16310892778373373</v>
      </c>
    </row>
    <row r="1258" spans="1:3" x14ac:dyDescent="0.25">
      <c r="A1258" s="1">
        <v>43930</v>
      </c>
      <c r="B1258" s="5">
        <v>2789.820068</v>
      </c>
      <c r="C1258" s="7">
        <f t="shared" si="35"/>
        <v>-0.15361593086585645</v>
      </c>
    </row>
    <row r="1259" spans="1:3" x14ac:dyDescent="0.25">
      <c r="A1259" s="1">
        <v>43934</v>
      </c>
      <c r="B1259" s="5">
        <v>2761.6298830000001</v>
      </c>
      <c r="C1259" s="7">
        <f t="shared" si="35"/>
        <v>-0.17040520412540811</v>
      </c>
    </row>
    <row r="1260" spans="1:3" x14ac:dyDescent="0.25">
      <c r="A1260" s="1">
        <v>43935</v>
      </c>
      <c r="B1260" s="5">
        <v>2846.0600589999999</v>
      </c>
      <c r="C1260" s="7">
        <f t="shared" si="35"/>
        <v>-0.13743138214850675</v>
      </c>
    </row>
  </sheetData>
  <printOptions headings="1" gridLines="1"/>
  <pageMargins left="0.7" right="0.7" top="0.75" bottom="0.75" header="0.3" footer="0.3"/>
  <pageSetup scale="71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Ellen Perry</dc:creator>
  <cp:lastModifiedBy>Ellen Perry</cp:lastModifiedBy>
  <cp:lastPrinted>2020-04-16T17:40:17Z</cp:lastPrinted>
  <dcterms:created xsi:type="dcterms:W3CDTF">2020-04-15T15:22:29Z</dcterms:created>
  <dcterms:modified xsi:type="dcterms:W3CDTF">2020-04-16T17:55:01Z</dcterms:modified>
</cp:coreProperties>
</file>