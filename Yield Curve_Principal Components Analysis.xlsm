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Conn\Spring 2020\5661\Final Lecture\Uploads for Husky CT\"/>
    </mc:Choice>
  </mc:AlternateContent>
  <bookViews>
    <workbookView xWindow="480" yWindow="30" windowWidth="22995" windowHeight="9915"/>
  </bookViews>
  <sheets>
    <sheet name="Yield Curve PC" sheetId="2" r:id="rId1"/>
  </sheets>
  <functionGroups builtInGroupCount="18"/>
  <calcPr calcId="152511"/>
</workbook>
</file>

<file path=xl/calcChain.xml><?xml version="1.0" encoding="utf-8"?>
<calcChain xmlns="http://schemas.openxmlformats.org/spreadsheetml/2006/main">
  <c r="N485" i="2" l="1"/>
  <c r="M485" i="2"/>
  <c r="L485" i="2"/>
  <c r="K485" i="2"/>
  <c r="J485" i="2"/>
  <c r="I485" i="2"/>
  <c r="H485" i="2"/>
  <c r="G485" i="2"/>
  <c r="F485" i="2"/>
  <c r="E485" i="2"/>
  <c r="N484" i="2"/>
  <c r="M484" i="2"/>
  <c r="L484" i="2"/>
  <c r="K484" i="2"/>
  <c r="J484" i="2"/>
  <c r="I484" i="2"/>
  <c r="H484" i="2"/>
  <c r="G484" i="2"/>
  <c r="F484" i="2"/>
  <c r="E484" i="2"/>
  <c r="N483" i="2"/>
  <c r="M483" i="2"/>
  <c r="L483" i="2"/>
  <c r="K483" i="2"/>
  <c r="J483" i="2"/>
  <c r="I483" i="2"/>
  <c r="H483" i="2"/>
  <c r="G483" i="2"/>
  <c r="F483" i="2"/>
  <c r="E483" i="2"/>
  <c r="N482" i="2"/>
  <c r="M482" i="2"/>
  <c r="L482" i="2"/>
  <c r="K482" i="2"/>
  <c r="J482" i="2"/>
  <c r="I482" i="2"/>
  <c r="H482" i="2"/>
  <c r="G482" i="2"/>
  <c r="F482" i="2"/>
  <c r="E482" i="2"/>
  <c r="N481" i="2"/>
  <c r="M481" i="2"/>
  <c r="L481" i="2"/>
  <c r="K481" i="2"/>
  <c r="J481" i="2"/>
  <c r="I481" i="2"/>
  <c r="H481" i="2"/>
  <c r="G481" i="2"/>
  <c r="F481" i="2"/>
  <c r="E481" i="2"/>
  <c r="N480" i="2"/>
  <c r="M480" i="2"/>
  <c r="L480" i="2"/>
  <c r="K480" i="2"/>
  <c r="J480" i="2"/>
  <c r="I480" i="2"/>
  <c r="H480" i="2"/>
  <c r="G480" i="2"/>
  <c r="F480" i="2"/>
  <c r="E480" i="2"/>
  <c r="N479" i="2"/>
  <c r="M479" i="2"/>
  <c r="L479" i="2"/>
  <c r="K479" i="2"/>
  <c r="J479" i="2"/>
  <c r="I479" i="2"/>
  <c r="H479" i="2"/>
  <c r="G479" i="2"/>
  <c r="F479" i="2"/>
  <c r="E479" i="2"/>
  <c r="N478" i="2"/>
  <c r="M478" i="2"/>
  <c r="L478" i="2"/>
  <c r="K478" i="2"/>
  <c r="J478" i="2"/>
  <c r="I478" i="2"/>
  <c r="H478" i="2"/>
  <c r="G478" i="2"/>
  <c r="F478" i="2"/>
  <c r="E478" i="2"/>
  <c r="N477" i="2"/>
  <c r="M477" i="2"/>
  <c r="L477" i="2"/>
  <c r="K477" i="2"/>
  <c r="J477" i="2"/>
  <c r="I477" i="2"/>
  <c r="H477" i="2"/>
  <c r="G477" i="2"/>
  <c r="F477" i="2"/>
  <c r="E477" i="2"/>
  <c r="N476" i="2"/>
  <c r="M476" i="2"/>
  <c r="L476" i="2"/>
  <c r="K476" i="2"/>
  <c r="J476" i="2"/>
  <c r="I476" i="2"/>
  <c r="H476" i="2"/>
  <c r="G476" i="2"/>
  <c r="F476" i="2"/>
  <c r="E476" i="2"/>
  <c r="N475" i="2"/>
  <c r="M475" i="2"/>
  <c r="L475" i="2"/>
  <c r="K475" i="2"/>
  <c r="J475" i="2"/>
  <c r="I475" i="2"/>
  <c r="H475" i="2"/>
  <c r="G475" i="2"/>
  <c r="F475" i="2"/>
  <c r="E475" i="2"/>
  <c r="N474" i="2"/>
  <c r="M474" i="2"/>
  <c r="L474" i="2"/>
  <c r="K474" i="2"/>
  <c r="J474" i="2"/>
  <c r="I474" i="2"/>
  <c r="H474" i="2"/>
  <c r="G474" i="2"/>
  <c r="F474" i="2"/>
  <c r="E474" i="2"/>
  <c r="N473" i="2"/>
  <c r="M473" i="2"/>
  <c r="L473" i="2"/>
  <c r="K473" i="2"/>
  <c r="J473" i="2"/>
  <c r="I473" i="2"/>
  <c r="H473" i="2"/>
  <c r="G473" i="2"/>
  <c r="F473" i="2"/>
  <c r="E473" i="2"/>
  <c r="N472" i="2"/>
  <c r="M472" i="2"/>
  <c r="L472" i="2"/>
  <c r="K472" i="2"/>
  <c r="J472" i="2"/>
  <c r="I472" i="2"/>
  <c r="H472" i="2"/>
  <c r="G472" i="2"/>
  <c r="F472" i="2"/>
  <c r="E472" i="2"/>
  <c r="N471" i="2"/>
  <c r="M471" i="2"/>
  <c r="L471" i="2"/>
  <c r="K471" i="2"/>
  <c r="J471" i="2"/>
  <c r="I471" i="2"/>
  <c r="H471" i="2"/>
  <c r="G471" i="2"/>
  <c r="F471" i="2"/>
  <c r="E471" i="2"/>
  <c r="N470" i="2"/>
  <c r="M470" i="2"/>
  <c r="L470" i="2"/>
  <c r="K470" i="2"/>
  <c r="J470" i="2"/>
  <c r="I470" i="2"/>
  <c r="H470" i="2"/>
  <c r="G470" i="2"/>
  <c r="F470" i="2"/>
  <c r="E470" i="2"/>
  <c r="N469" i="2"/>
  <c r="M469" i="2"/>
  <c r="L469" i="2"/>
  <c r="K469" i="2"/>
  <c r="J469" i="2"/>
  <c r="I469" i="2"/>
  <c r="H469" i="2"/>
  <c r="G469" i="2"/>
  <c r="F469" i="2"/>
  <c r="E469" i="2"/>
  <c r="N468" i="2"/>
  <c r="M468" i="2"/>
  <c r="L468" i="2"/>
  <c r="K468" i="2"/>
  <c r="J468" i="2"/>
  <c r="I468" i="2"/>
  <c r="H468" i="2"/>
  <c r="G468" i="2"/>
  <c r="F468" i="2"/>
  <c r="E468" i="2"/>
  <c r="N467" i="2"/>
  <c r="M467" i="2"/>
  <c r="L467" i="2"/>
  <c r="K467" i="2"/>
  <c r="J467" i="2"/>
  <c r="I467" i="2"/>
  <c r="H467" i="2"/>
  <c r="G467" i="2"/>
  <c r="F467" i="2"/>
  <c r="E467" i="2"/>
  <c r="N466" i="2"/>
  <c r="M466" i="2"/>
  <c r="L466" i="2"/>
  <c r="K466" i="2"/>
  <c r="J466" i="2"/>
  <c r="I466" i="2"/>
  <c r="H466" i="2"/>
  <c r="G466" i="2"/>
  <c r="F466" i="2"/>
  <c r="E466" i="2"/>
  <c r="N465" i="2"/>
  <c r="M465" i="2"/>
  <c r="L465" i="2"/>
  <c r="K465" i="2"/>
  <c r="J465" i="2"/>
  <c r="I465" i="2"/>
  <c r="H465" i="2"/>
  <c r="G465" i="2"/>
  <c r="F465" i="2"/>
  <c r="E465" i="2"/>
  <c r="N464" i="2"/>
  <c r="M464" i="2"/>
  <c r="L464" i="2"/>
  <c r="K464" i="2"/>
  <c r="J464" i="2"/>
  <c r="I464" i="2"/>
  <c r="H464" i="2"/>
  <c r="G464" i="2"/>
  <c r="F464" i="2"/>
  <c r="E464" i="2"/>
  <c r="N463" i="2"/>
  <c r="M463" i="2"/>
  <c r="L463" i="2"/>
  <c r="K463" i="2"/>
  <c r="J463" i="2"/>
  <c r="I463" i="2"/>
  <c r="H463" i="2"/>
  <c r="G463" i="2"/>
  <c r="F463" i="2"/>
  <c r="E463" i="2"/>
  <c r="N462" i="2"/>
  <c r="M462" i="2"/>
  <c r="L462" i="2"/>
  <c r="K462" i="2"/>
  <c r="J462" i="2"/>
  <c r="I462" i="2"/>
  <c r="H462" i="2"/>
  <c r="G462" i="2"/>
  <c r="F462" i="2"/>
  <c r="E462" i="2"/>
  <c r="N461" i="2"/>
  <c r="M461" i="2"/>
  <c r="L461" i="2"/>
  <c r="K461" i="2"/>
  <c r="J461" i="2"/>
  <c r="I461" i="2"/>
  <c r="H461" i="2"/>
  <c r="G461" i="2"/>
  <c r="F461" i="2"/>
  <c r="E461" i="2"/>
  <c r="N460" i="2"/>
  <c r="M460" i="2"/>
  <c r="L460" i="2"/>
  <c r="K460" i="2"/>
  <c r="J460" i="2"/>
  <c r="I460" i="2"/>
  <c r="H460" i="2"/>
  <c r="G460" i="2"/>
  <c r="F460" i="2"/>
  <c r="E460" i="2"/>
  <c r="N459" i="2"/>
  <c r="M459" i="2"/>
  <c r="L459" i="2"/>
  <c r="K459" i="2"/>
  <c r="J459" i="2"/>
  <c r="I459" i="2"/>
  <c r="H459" i="2"/>
  <c r="G459" i="2"/>
  <c r="F459" i="2"/>
  <c r="E459" i="2"/>
  <c r="N458" i="2"/>
  <c r="M458" i="2"/>
  <c r="L458" i="2"/>
  <c r="K458" i="2"/>
  <c r="J458" i="2"/>
  <c r="I458" i="2"/>
  <c r="H458" i="2"/>
  <c r="G458" i="2"/>
  <c r="F458" i="2"/>
  <c r="E458" i="2"/>
  <c r="N457" i="2"/>
  <c r="M457" i="2"/>
  <c r="L457" i="2"/>
  <c r="K457" i="2"/>
  <c r="J457" i="2"/>
  <c r="I457" i="2"/>
  <c r="H457" i="2"/>
  <c r="G457" i="2"/>
  <c r="F457" i="2"/>
  <c r="E457" i="2"/>
  <c r="N456" i="2"/>
  <c r="M456" i="2"/>
  <c r="L456" i="2"/>
  <c r="K456" i="2"/>
  <c r="J456" i="2"/>
  <c r="I456" i="2"/>
  <c r="H456" i="2"/>
  <c r="G456" i="2"/>
  <c r="F456" i="2"/>
  <c r="E456" i="2"/>
  <c r="N455" i="2"/>
  <c r="M455" i="2"/>
  <c r="L455" i="2"/>
  <c r="K455" i="2"/>
  <c r="J455" i="2"/>
  <c r="I455" i="2"/>
  <c r="H455" i="2"/>
  <c r="G455" i="2"/>
  <c r="F455" i="2"/>
  <c r="E455" i="2"/>
  <c r="N454" i="2"/>
  <c r="M454" i="2"/>
  <c r="L454" i="2"/>
  <c r="K454" i="2"/>
  <c r="J454" i="2"/>
  <c r="I454" i="2"/>
  <c r="H454" i="2"/>
  <c r="G454" i="2"/>
  <c r="F454" i="2"/>
  <c r="E454" i="2"/>
  <c r="N453" i="2"/>
  <c r="M453" i="2"/>
  <c r="L453" i="2"/>
  <c r="K453" i="2"/>
  <c r="J453" i="2"/>
  <c r="I453" i="2"/>
  <c r="H453" i="2"/>
  <c r="G453" i="2"/>
  <c r="F453" i="2"/>
  <c r="E453" i="2"/>
  <c r="N452" i="2"/>
  <c r="M452" i="2"/>
  <c r="L452" i="2"/>
  <c r="K452" i="2"/>
  <c r="J452" i="2"/>
  <c r="I452" i="2"/>
  <c r="H452" i="2"/>
  <c r="G452" i="2"/>
  <c r="F452" i="2"/>
  <c r="E452" i="2"/>
  <c r="N451" i="2"/>
  <c r="M451" i="2"/>
  <c r="L451" i="2"/>
  <c r="K451" i="2"/>
  <c r="J451" i="2"/>
  <c r="I451" i="2"/>
  <c r="H451" i="2"/>
  <c r="G451" i="2"/>
  <c r="F451" i="2"/>
  <c r="E451" i="2"/>
  <c r="N450" i="2"/>
  <c r="M450" i="2"/>
  <c r="L450" i="2"/>
  <c r="K450" i="2"/>
  <c r="J450" i="2"/>
  <c r="I450" i="2"/>
  <c r="H450" i="2"/>
  <c r="G450" i="2"/>
  <c r="F450" i="2"/>
  <c r="E450" i="2"/>
  <c r="N449" i="2"/>
  <c r="M449" i="2"/>
  <c r="L449" i="2"/>
  <c r="K449" i="2"/>
  <c r="J449" i="2"/>
  <c r="I449" i="2"/>
  <c r="H449" i="2"/>
  <c r="G449" i="2"/>
  <c r="F449" i="2"/>
  <c r="E449" i="2"/>
  <c r="N448" i="2"/>
  <c r="M448" i="2"/>
  <c r="L448" i="2"/>
  <c r="K448" i="2"/>
  <c r="J448" i="2"/>
  <c r="I448" i="2"/>
  <c r="H448" i="2"/>
  <c r="G448" i="2"/>
  <c r="F448" i="2"/>
  <c r="E448" i="2"/>
  <c r="N447" i="2"/>
  <c r="M447" i="2"/>
  <c r="L447" i="2"/>
  <c r="K447" i="2"/>
  <c r="J447" i="2"/>
  <c r="I447" i="2"/>
  <c r="H447" i="2"/>
  <c r="G447" i="2"/>
  <c r="F447" i="2"/>
  <c r="E447" i="2"/>
  <c r="N446" i="2"/>
  <c r="M446" i="2"/>
  <c r="L446" i="2"/>
  <c r="K446" i="2"/>
  <c r="J446" i="2"/>
  <c r="I446" i="2"/>
  <c r="H446" i="2"/>
  <c r="G446" i="2"/>
  <c r="F446" i="2"/>
  <c r="E446" i="2"/>
  <c r="N445" i="2"/>
  <c r="M445" i="2"/>
  <c r="L445" i="2"/>
  <c r="K445" i="2"/>
  <c r="J445" i="2"/>
  <c r="I445" i="2"/>
  <c r="H445" i="2"/>
  <c r="G445" i="2"/>
  <c r="F445" i="2"/>
  <c r="E445" i="2"/>
  <c r="N444" i="2"/>
  <c r="M444" i="2"/>
  <c r="L444" i="2"/>
  <c r="K444" i="2"/>
  <c r="J444" i="2"/>
  <c r="I444" i="2"/>
  <c r="H444" i="2"/>
  <c r="G444" i="2"/>
  <c r="F444" i="2"/>
  <c r="E444" i="2"/>
  <c r="N443" i="2"/>
  <c r="M443" i="2"/>
  <c r="L443" i="2"/>
  <c r="K443" i="2"/>
  <c r="J443" i="2"/>
  <c r="I443" i="2"/>
  <c r="H443" i="2"/>
  <c r="G443" i="2"/>
  <c r="F443" i="2"/>
  <c r="E443" i="2"/>
  <c r="N442" i="2"/>
  <c r="M442" i="2"/>
  <c r="L442" i="2"/>
  <c r="K442" i="2"/>
  <c r="J442" i="2"/>
  <c r="I442" i="2"/>
  <c r="H442" i="2"/>
  <c r="G442" i="2"/>
  <c r="F442" i="2"/>
  <c r="E442" i="2"/>
  <c r="N441" i="2"/>
  <c r="M441" i="2"/>
  <c r="L441" i="2"/>
  <c r="K441" i="2"/>
  <c r="J441" i="2"/>
  <c r="I441" i="2"/>
  <c r="H441" i="2"/>
  <c r="G441" i="2"/>
  <c r="F441" i="2"/>
  <c r="E441" i="2"/>
  <c r="N440" i="2"/>
  <c r="M440" i="2"/>
  <c r="L440" i="2"/>
  <c r="K440" i="2"/>
  <c r="J440" i="2"/>
  <c r="I440" i="2"/>
  <c r="H440" i="2"/>
  <c r="G440" i="2"/>
  <c r="F440" i="2"/>
  <c r="E440" i="2"/>
  <c r="N439" i="2"/>
  <c r="M439" i="2"/>
  <c r="L439" i="2"/>
  <c r="K439" i="2"/>
  <c r="J439" i="2"/>
  <c r="I439" i="2"/>
  <c r="H439" i="2"/>
  <c r="G439" i="2"/>
  <c r="F439" i="2"/>
  <c r="E439" i="2"/>
  <c r="N438" i="2"/>
  <c r="M438" i="2"/>
  <c r="L438" i="2"/>
  <c r="K438" i="2"/>
  <c r="J438" i="2"/>
  <c r="I438" i="2"/>
  <c r="H438" i="2"/>
  <c r="G438" i="2"/>
  <c r="F438" i="2"/>
  <c r="E438" i="2"/>
  <c r="N437" i="2"/>
  <c r="M437" i="2"/>
  <c r="L437" i="2"/>
  <c r="K437" i="2"/>
  <c r="J437" i="2"/>
  <c r="I437" i="2"/>
  <c r="H437" i="2"/>
  <c r="G437" i="2"/>
  <c r="F437" i="2"/>
  <c r="E437" i="2"/>
  <c r="N436" i="2"/>
  <c r="M436" i="2"/>
  <c r="L436" i="2"/>
  <c r="K436" i="2"/>
  <c r="J436" i="2"/>
  <c r="I436" i="2"/>
  <c r="H436" i="2"/>
  <c r="G436" i="2"/>
  <c r="F436" i="2"/>
  <c r="E436" i="2"/>
  <c r="N435" i="2"/>
  <c r="M435" i="2"/>
  <c r="L435" i="2"/>
  <c r="K435" i="2"/>
  <c r="J435" i="2"/>
  <c r="I435" i="2"/>
  <c r="H435" i="2"/>
  <c r="G435" i="2"/>
  <c r="F435" i="2"/>
  <c r="E435" i="2"/>
  <c r="N434" i="2"/>
  <c r="M434" i="2"/>
  <c r="L434" i="2"/>
  <c r="K434" i="2"/>
  <c r="J434" i="2"/>
  <c r="I434" i="2"/>
  <c r="H434" i="2"/>
  <c r="G434" i="2"/>
  <c r="F434" i="2"/>
  <c r="E434" i="2"/>
  <c r="N433" i="2"/>
  <c r="M433" i="2"/>
  <c r="L433" i="2"/>
  <c r="K433" i="2"/>
  <c r="J433" i="2"/>
  <c r="I433" i="2"/>
  <c r="H433" i="2"/>
  <c r="G433" i="2"/>
  <c r="F433" i="2"/>
  <c r="E433" i="2"/>
  <c r="N432" i="2"/>
  <c r="M432" i="2"/>
  <c r="L432" i="2"/>
  <c r="K432" i="2"/>
  <c r="J432" i="2"/>
  <c r="I432" i="2"/>
  <c r="H432" i="2"/>
  <c r="G432" i="2"/>
  <c r="F432" i="2"/>
  <c r="E432" i="2"/>
  <c r="N431" i="2"/>
  <c r="M431" i="2"/>
  <c r="L431" i="2"/>
  <c r="K431" i="2"/>
  <c r="J431" i="2"/>
  <c r="I431" i="2"/>
  <c r="H431" i="2"/>
  <c r="G431" i="2"/>
  <c r="F431" i="2"/>
  <c r="E431" i="2"/>
  <c r="N430" i="2"/>
  <c r="M430" i="2"/>
  <c r="L430" i="2"/>
  <c r="K430" i="2"/>
  <c r="J430" i="2"/>
  <c r="I430" i="2"/>
  <c r="H430" i="2"/>
  <c r="G430" i="2"/>
  <c r="F430" i="2"/>
  <c r="E430" i="2"/>
  <c r="N429" i="2"/>
  <c r="M429" i="2"/>
  <c r="L429" i="2"/>
  <c r="K429" i="2"/>
  <c r="J429" i="2"/>
  <c r="I429" i="2"/>
  <c r="H429" i="2"/>
  <c r="G429" i="2"/>
  <c r="F429" i="2"/>
  <c r="E429" i="2"/>
  <c r="N428" i="2"/>
  <c r="M428" i="2"/>
  <c r="L428" i="2"/>
  <c r="K428" i="2"/>
  <c r="J428" i="2"/>
  <c r="I428" i="2"/>
  <c r="H428" i="2"/>
  <c r="G428" i="2"/>
  <c r="F428" i="2"/>
  <c r="E428" i="2"/>
  <c r="N427" i="2"/>
  <c r="M427" i="2"/>
  <c r="L427" i="2"/>
  <c r="K427" i="2"/>
  <c r="J427" i="2"/>
  <c r="I427" i="2"/>
  <c r="H427" i="2"/>
  <c r="G427" i="2"/>
  <c r="F427" i="2"/>
  <c r="E427" i="2"/>
  <c r="N426" i="2"/>
  <c r="M426" i="2"/>
  <c r="L426" i="2"/>
  <c r="K426" i="2"/>
  <c r="J426" i="2"/>
  <c r="I426" i="2"/>
  <c r="H426" i="2"/>
  <c r="G426" i="2"/>
  <c r="F426" i="2"/>
  <c r="E426" i="2"/>
  <c r="N425" i="2"/>
  <c r="M425" i="2"/>
  <c r="L425" i="2"/>
  <c r="K425" i="2"/>
  <c r="J425" i="2"/>
  <c r="I425" i="2"/>
  <c r="H425" i="2"/>
  <c r="G425" i="2"/>
  <c r="F425" i="2"/>
  <c r="E425" i="2"/>
  <c r="N424" i="2"/>
  <c r="M424" i="2"/>
  <c r="L424" i="2"/>
  <c r="K424" i="2"/>
  <c r="J424" i="2"/>
  <c r="I424" i="2"/>
  <c r="H424" i="2"/>
  <c r="G424" i="2"/>
  <c r="F424" i="2"/>
  <c r="E424" i="2"/>
  <c r="N423" i="2"/>
  <c r="M423" i="2"/>
  <c r="L423" i="2"/>
  <c r="K423" i="2"/>
  <c r="J423" i="2"/>
  <c r="I423" i="2"/>
  <c r="H423" i="2"/>
  <c r="G423" i="2"/>
  <c r="F423" i="2"/>
  <c r="E423" i="2"/>
  <c r="N422" i="2"/>
  <c r="M422" i="2"/>
  <c r="L422" i="2"/>
  <c r="K422" i="2"/>
  <c r="J422" i="2"/>
  <c r="I422" i="2"/>
  <c r="H422" i="2"/>
  <c r="G422" i="2"/>
  <c r="F422" i="2"/>
  <c r="E422" i="2"/>
  <c r="N421" i="2"/>
  <c r="M421" i="2"/>
  <c r="L421" i="2"/>
  <c r="K421" i="2"/>
  <c r="J421" i="2"/>
  <c r="I421" i="2"/>
  <c r="H421" i="2"/>
  <c r="G421" i="2"/>
  <c r="F421" i="2"/>
  <c r="E421" i="2"/>
  <c r="N420" i="2"/>
  <c r="M420" i="2"/>
  <c r="L420" i="2"/>
  <c r="K420" i="2"/>
  <c r="J420" i="2"/>
  <c r="I420" i="2"/>
  <c r="H420" i="2"/>
  <c r="G420" i="2"/>
  <c r="F420" i="2"/>
  <c r="E420" i="2"/>
  <c r="N419" i="2"/>
  <c r="M419" i="2"/>
  <c r="L419" i="2"/>
  <c r="K419" i="2"/>
  <c r="J419" i="2"/>
  <c r="I419" i="2"/>
  <c r="H419" i="2"/>
  <c r="G419" i="2"/>
  <c r="F419" i="2"/>
  <c r="E419" i="2"/>
  <c r="N418" i="2"/>
  <c r="M418" i="2"/>
  <c r="L418" i="2"/>
  <c r="K418" i="2"/>
  <c r="J418" i="2"/>
  <c r="I418" i="2"/>
  <c r="H418" i="2"/>
  <c r="G418" i="2"/>
  <c r="F418" i="2"/>
  <c r="E418" i="2"/>
  <c r="N417" i="2"/>
  <c r="M417" i="2"/>
  <c r="L417" i="2"/>
  <c r="K417" i="2"/>
  <c r="J417" i="2"/>
  <c r="I417" i="2"/>
  <c r="H417" i="2"/>
  <c r="G417" i="2"/>
  <c r="F417" i="2"/>
  <c r="E417" i="2"/>
  <c r="N416" i="2"/>
  <c r="M416" i="2"/>
  <c r="L416" i="2"/>
  <c r="K416" i="2"/>
  <c r="J416" i="2"/>
  <c r="I416" i="2"/>
  <c r="H416" i="2"/>
  <c r="G416" i="2"/>
  <c r="F416" i="2"/>
  <c r="E416" i="2"/>
  <c r="N415" i="2"/>
  <c r="M415" i="2"/>
  <c r="L415" i="2"/>
  <c r="K415" i="2"/>
  <c r="J415" i="2"/>
  <c r="I415" i="2"/>
  <c r="H415" i="2"/>
  <c r="G415" i="2"/>
  <c r="F415" i="2"/>
  <c r="E415" i="2"/>
  <c r="N414" i="2"/>
  <c r="M414" i="2"/>
  <c r="L414" i="2"/>
  <c r="K414" i="2"/>
  <c r="J414" i="2"/>
  <c r="I414" i="2"/>
  <c r="H414" i="2"/>
  <c r="G414" i="2"/>
  <c r="F414" i="2"/>
  <c r="E414" i="2"/>
  <c r="N413" i="2"/>
  <c r="M413" i="2"/>
  <c r="L413" i="2"/>
  <c r="K413" i="2"/>
  <c r="J413" i="2"/>
  <c r="I413" i="2"/>
  <c r="H413" i="2"/>
  <c r="G413" i="2"/>
  <c r="F413" i="2"/>
  <c r="E413" i="2"/>
  <c r="N412" i="2"/>
  <c r="M412" i="2"/>
  <c r="L412" i="2"/>
  <c r="K412" i="2"/>
  <c r="J412" i="2"/>
  <c r="I412" i="2"/>
  <c r="H412" i="2"/>
  <c r="G412" i="2"/>
  <c r="F412" i="2"/>
  <c r="E412" i="2"/>
  <c r="N411" i="2"/>
  <c r="M411" i="2"/>
  <c r="L411" i="2"/>
  <c r="K411" i="2"/>
  <c r="J411" i="2"/>
  <c r="I411" i="2"/>
  <c r="H411" i="2"/>
  <c r="G411" i="2"/>
  <c r="F411" i="2"/>
  <c r="E411" i="2"/>
  <c r="N410" i="2"/>
  <c r="M410" i="2"/>
  <c r="L410" i="2"/>
  <c r="K410" i="2"/>
  <c r="J410" i="2"/>
  <c r="I410" i="2"/>
  <c r="H410" i="2"/>
  <c r="G410" i="2"/>
  <c r="F410" i="2"/>
  <c r="E410" i="2"/>
  <c r="N409" i="2"/>
  <c r="M409" i="2"/>
  <c r="L409" i="2"/>
  <c r="K409" i="2"/>
  <c r="J409" i="2"/>
  <c r="I409" i="2"/>
  <c r="H409" i="2"/>
  <c r="G409" i="2"/>
  <c r="F409" i="2"/>
  <c r="E409" i="2"/>
  <c r="N408" i="2"/>
  <c r="M408" i="2"/>
  <c r="L408" i="2"/>
  <c r="K408" i="2"/>
  <c r="J408" i="2"/>
  <c r="I408" i="2"/>
  <c r="H408" i="2"/>
  <c r="G408" i="2"/>
  <c r="F408" i="2"/>
  <c r="E408" i="2"/>
  <c r="N407" i="2"/>
  <c r="M407" i="2"/>
  <c r="L407" i="2"/>
  <c r="K407" i="2"/>
  <c r="J407" i="2"/>
  <c r="I407" i="2"/>
  <c r="H407" i="2"/>
  <c r="G407" i="2"/>
  <c r="F407" i="2"/>
  <c r="E407" i="2"/>
  <c r="N406" i="2"/>
  <c r="M406" i="2"/>
  <c r="L406" i="2"/>
  <c r="K406" i="2"/>
  <c r="J406" i="2"/>
  <c r="I406" i="2"/>
  <c r="H406" i="2"/>
  <c r="G406" i="2"/>
  <c r="F406" i="2"/>
  <c r="E406" i="2"/>
  <c r="N405" i="2"/>
  <c r="M405" i="2"/>
  <c r="L405" i="2"/>
  <c r="K405" i="2"/>
  <c r="J405" i="2"/>
  <c r="I405" i="2"/>
  <c r="H405" i="2"/>
  <c r="G405" i="2"/>
  <c r="F405" i="2"/>
  <c r="E405" i="2"/>
  <c r="N404" i="2"/>
  <c r="M404" i="2"/>
  <c r="L404" i="2"/>
  <c r="K404" i="2"/>
  <c r="J404" i="2"/>
  <c r="I404" i="2"/>
  <c r="H404" i="2"/>
  <c r="G404" i="2"/>
  <c r="F404" i="2"/>
  <c r="E404" i="2"/>
  <c r="N403" i="2"/>
  <c r="M403" i="2"/>
  <c r="L403" i="2"/>
  <c r="K403" i="2"/>
  <c r="J403" i="2"/>
  <c r="I403" i="2"/>
  <c r="H403" i="2"/>
  <c r="G403" i="2"/>
  <c r="F403" i="2"/>
  <c r="E403" i="2"/>
  <c r="N402" i="2"/>
  <c r="M402" i="2"/>
  <c r="L402" i="2"/>
  <c r="K402" i="2"/>
  <c r="J402" i="2"/>
  <c r="I402" i="2"/>
  <c r="H402" i="2"/>
  <c r="G402" i="2"/>
  <c r="F402" i="2"/>
  <c r="E402" i="2"/>
  <c r="N401" i="2"/>
  <c r="M401" i="2"/>
  <c r="L401" i="2"/>
  <c r="K401" i="2"/>
  <c r="J401" i="2"/>
  <c r="I401" i="2"/>
  <c r="H401" i="2"/>
  <c r="G401" i="2"/>
  <c r="F401" i="2"/>
  <c r="E401" i="2"/>
  <c r="N400" i="2"/>
  <c r="M400" i="2"/>
  <c r="L400" i="2"/>
  <c r="K400" i="2"/>
  <c r="J400" i="2"/>
  <c r="I400" i="2"/>
  <c r="H400" i="2"/>
  <c r="G400" i="2"/>
  <c r="F400" i="2"/>
  <c r="E400" i="2"/>
  <c r="N399" i="2"/>
  <c r="M399" i="2"/>
  <c r="L399" i="2"/>
  <c r="K399" i="2"/>
  <c r="J399" i="2"/>
  <c r="I399" i="2"/>
  <c r="H399" i="2"/>
  <c r="G399" i="2"/>
  <c r="F399" i="2"/>
  <c r="E399" i="2"/>
  <c r="N398" i="2"/>
  <c r="M398" i="2"/>
  <c r="L398" i="2"/>
  <c r="K398" i="2"/>
  <c r="J398" i="2"/>
  <c r="I398" i="2"/>
  <c r="H398" i="2"/>
  <c r="G398" i="2"/>
  <c r="F398" i="2"/>
  <c r="E398" i="2"/>
  <c r="N397" i="2"/>
  <c r="M397" i="2"/>
  <c r="L397" i="2"/>
  <c r="K397" i="2"/>
  <c r="J397" i="2"/>
  <c r="I397" i="2"/>
  <c r="H397" i="2"/>
  <c r="G397" i="2"/>
  <c r="F397" i="2"/>
  <c r="E397" i="2"/>
  <c r="N396" i="2"/>
  <c r="M396" i="2"/>
  <c r="L396" i="2"/>
  <c r="K396" i="2"/>
  <c r="J396" i="2"/>
  <c r="I396" i="2"/>
  <c r="H396" i="2"/>
  <c r="G396" i="2"/>
  <c r="F396" i="2"/>
  <c r="E396" i="2"/>
  <c r="N395" i="2"/>
  <c r="M395" i="2"/>
  <c r="L395" i="2"/>
  <c r="K395" i="2"/>
  <c r="J395" i="2"/>
  <c r="I395" i="2"/>
  <c r="H395" i="2"/>
  <c r="G395" i="2"/>
  <c r="F395" i="2"/>
  <c r="E395" i="2"/>
  <c r="N394" i="2"/>
  <c r="M394" i="2"/>
  <c r="L394" i="2"/>
  <c r="K394" i="2"/>
  <c r="J394" i="2"/>
  <c r="I394" i="2"/>
  <c r="H394" i="2"/>
  <c r="G394" i="2"/>
  <c r="F394" i="2"/>
  <c r="E394" i="2"/>
  <c r="N393" i="2"/>
  <c r="M393" i="2"/>
  <c r="L393" i="2"/>
  <c r="K393" i="2"/>
  <c r="J393" i="2"/>
  <c r="I393" i="2"/>
  <c r="H393" i="2"/>
  <c r="G393" i="2"/>
  <c r="F393" i="2"/>
  <c r="E393" i="2"/>
  <c r="N392" i="2"/>
  <c r="M392" i="2"/>
  <c r="L392" i="2"/>
  <c r="K392" i="2"/>
  <c r="J392" i="2"/>
  <c r="I392" i="2"/>
  <c r="H392" i="2"/>
  <c r="G392" i="2"/>
  <c r="F392" i="2"/>
  <c r="E392" i="2"/>
  <c r="N391" i="2"/>
  <c r="M391" i="2"/>
  <c r="L391" i="2"/>
  <c r="K391" i="2"/>
  <c r="J391" i="2"/>
  <c r="I391" i="2"/>
  <c r="H391" i="2"/>
  <c r="G391" i="2"/>
  <c r="F391" i="2"/>
  <c r="E391" i="2"/>
  <c r="N390" i="2"/>
  <c r="M390" i="2"/>
  <c r="L390" i="2"/>
  <c r="K390" i="2"/>
  <c r="J390" i="2"/>
  <c r="I390" i="2"/>
  <c r="H390" i="2"/>
  <c r="G390" i="2"/>
  <c r="F390" i="2"/>
  <c r="E390" i="2"/>
  <c r="N389" i="2"/>
  <c r="M389" i="2"/>
  <c r="L389" i="2"/>
  <c r="K389" i="2"/>
  <c r="J389" i="2"/>
  <c r="I389" i="2"/>
  <c r="H389" i="2"/>
  <c r="G389" i="2"/>
  <c r="F389" i="2"/>
  <c r="E389" i="2"/>
  <c r="N388" i="2"/>
  <c r="M388" i="2"/>
  <c r="L388" i="2"/>
  <c r="K388" i="2"/>
  <c r="J388" i="2"/>
  <c r="I388" i="2"/>
  <c r="H388" i="2"/>
  <c r="G388" i="2"/>
  <c r="F388" i="2"/>
  <c r="E388" i="2"/>
  <c r="N387" i="2"/>
  <c r="M387" i="2"/>
  <c r="L387" i="2"/>
  <c r="K387" i="2"/>
  <c r="J387" i="2"/>
  <c r="I387" i="2"/>
  <c r="H387" i="2"/>
  <c r="G387" i="2"/>
  <c r="F387" i="2"/>
  <c r="E387" i="2"/>
  <c r="N386" i="2"/>
  <c r="M386" i="2"/>
  <c r="L386" i="2"/>
  <c r="K386" i="2"/>
  <c r="J386" i="2"/>
  <c r="I386" i="2"/>
  <c r="H386" i="2"/>
  <c r="G386" i="2"/>
  <c r="F386" i="2"/>
  <c r="E386" i="2"/>
  <c r="N385" i="2"/>
  <c r="M385" i="2"/>
  <c r="L385" i="2"/>
  <c r="K385" i="2"/>
  <c r="J385" i="2"/>
  <c r="I385" i="2"/>
  <c r="H385" i="2"/>
  <c r="G385" i="2"/>
  <c r="F385" i="2"/>
  <c r="E385" i="2"/>
  <c r="N384" i="2"/>
  <c r="M384" i="2"/>
  <c r="L384" i="2"/>
  <c r="K384" i="2"/>
  <c r="J384" i="2"/>
  <c r="I384" i="2"/>
  <c r="H384" i="2"/>
  <c r="G384" i="2"/>
  <c r="F384" i="2"/>
  <c r="E384" i="2"/>
  <c r="N383" i="2"/>
  <c r="M383" i="2"/>
  <c r="L383" i="2"/>
  <c r="K383" i="2"/>
  <c r="J383" i="2"/>
  <c r="I383" i="2"/>
  <c r="H383" i="2"/>
  <c r="G383" i="2"/>
  <c r="F383" i="2"/>
  <c r="E383" i="2"/>
  <c r="N382" i="2"/>
  <c r="M382" i="2"/>
  <c r="L382" i="2"/>
  <c r="K382" i="2"/>
  <c r="J382" i="2"/>
  <c r="I382" i="2"/>
  <c r="H382" i="2"/>
  <c r="G382" i="2"/>
  <c r="F382" i="2"/>
  <c r="E382" i="2"/>
  <c r="N381" i="2"/>
  <c r="M381" i="2"/>
  <c r="L381" i="2"/>
  <c r="K381" i="2"/>
  <c r="J381" i="2"/>
  <c r="I381" i="2"/>
  <c r="H381" i="2"/>
  <c r="G381" i="2"/>
  <c r="F381" i="2"/>
  <c r="E381" i="2"/>
  <c r="N380" i="2"/>
  <c r="M380" i="2"/>
  <c r="L380" i="2"/>
  <c r="K380" i="2"/>
  <c r="J380" i="2"/>
  <c r="I380" i="2"/>
  <c r="H380" i="2"/>
  <c r="G380" i="2"/>
  <c r="F380" i="2"/>
  <c r="E380" i="2"/>
  <c r="N379" i="2"/>
  <c r="M379" i="2"/>
  <c r="L379" i="2"/>
  <c r="K379" i="2"/>
  <c r="J379" i="2"/>
  <c r="I379" i="2"/>
  <c r="H379" i="2"/>
  <c r="G379" i="2"/>
  <c r="F379" i="2"/>
  <c r="E379" i="2"/>
  <c r="N378" i="2"/>
  <c r="M378" i="2"/>
  <c r="L378" i="2"/>
  <c r="K378" i="2"/>
  <c r="J378" i="2"/>
  <c r="I378" i="2"/>
  <c r="H378" i="2"/>
  <c r="G378" i="2"/>
  <c r="F378" i="2"/>
  <c r="E378" i="2"/>
  <c r="N377" i="2"/>
  <c r="M377" i="2"/>
  <c r="L377" i="2"/>
  <c r="K377" i="2"/>
  <c r="J377" i="2"/>
  <c r="I377" i="2"/>
  <c r="H377" i="2"/>
  <c r="G377" i="2"/>
  <c r="F377" i="2"/>
  <c r="E377" i="2"/>
  <c r="N376" i="2"/>
  <c r="M376" i="2"/>
  <c r="L376" i="2"/>
  <c r="K376" i="2"/>
  <c r="J376" i="2"/>
  <c r="I376" i="2"/>
  <c r="H376" i="2"/>
  <c r="G376" i="2"/>
  <c r="F376" i="2"/>
  <c r="E376" i="2"/>
  <c r="N375" i="2"/>
  <c r="M375" i="2"/>
  <c r="L375" i="2"/>
  <c r="K375" i="2"/>
  <c r="J375" i="2"/>
  <c r="I375" i="2"/>
  <c r="H375" i="2"/>
  <c r="G375" i="2"/>
  <c r="F375" i="2"/>
  <c r="E375" i="2"/>
  <c r="N374" i="2"/>
  <c r="M374" i="2"/>
  <c r="L374" i="2"/>
  <c r="K374" i="2"/>
  <c r="J374" i="2"/>
  <c r="I374" i="2"/>
  <c r="H374" i="2"/>
  <c r="G374" i="2"/>
  <c r="F374" i="2"/>
  <c r="E374" i="2"/>
  <c r="N373" i="2"/>
  <c r="M373" i="2"/>
  <c r="L373" i="2"/>
  <c r="K373" i="2"/>
  <c r="J373" i="2"/>
  <c r="I373" i="2"/>
  <c r="H373" i="2"/>
  <c r="G373" i="2"/>
  <c r="F373" i="2"/>
  <c r="E373" i="2"/>
  <c r="N372" i="2"/>
  <c r="M372" i="2"/>
  <c r="L372" i="2"/>
  <c r="K372" i="2"/>
  <c r="J372" i="2"/>
  <c r="I372" i="2"/>
  <c r="H372" i="2"/>
  <c r="G372" i="2"/>
  <c r="F372" i="2"/>
  <c r="E372" i="2"/>
  <c r="N371" i="2"/>
  <c r="M371" i="2"/>
  <c r="L371" i="2"/>
  <c r="K371" i="2"/>
  <c r="J371" i="2"/>
  <c r="I371" i="2"/>
  <c r="H371" i="2"/>
  <c r="G371" i="2"/>
  <c r="F371" i="2"/>
  <c r="E371" i="2"/>
  <c r="N370" i="2"/>
  <c r="M370" i="2"/>
  <c r="L370" i="2"/>
  <c r="K370" i="2"/>
  <c r="J370" i="2"/>
  <c r="I370" i="2"/>
  <c r="H370" i="2"/>
  <c r="G370" i="2"/>
  <c r="F370" i="2"/>
  <c r="E370" i="2"/>
  <c r="N369" i="2"/>
  <c r="M369" i="2"/>
  <c r="L369" i="2"/>
  <c r="K369" i="2"/>
  <c r="J369" i="2"/>
  <c r="I369" i="2"/>
  <c r="H369" i="2"/>
  <c r="G369" i="2"/>
  <c r="F369" i="2"/>
  <c r="E369" i="2"/>
  <c r="N368" i="2"/>
  <c r="M368" i="2"/>
  <c r="L368" i="2"/>
  <c r="K368" i="2"/>
  <c r="J368" i="2"/>
  <c r="I368" i="2"/>
  <c r="H368" i="2"/>
  <c r="G368" i="2"/>
  <c r="F368" i="2"/>
  <c r="E368" i="2"/>
  <c r="N367" i="2"/>
  <c r="M367" i="2"/>
  <c r="L367" i="2"/>
  <c r="K367" i="2"/>
  <c r="J367" i="2"/>
  <c r="I367" i="2"/>
  <c r="H367" i="2"/>
  <c r="G367" i="2"/>
  <c r="F367" i="2"/>
  <c r="E367" i="2"/>
  <c r="N366" i="2"/>
  <c r="M366" i="2"/>
  <c r="L366" i="2"/>
  <c r="K366" i="2"/>
  <c r="J366" i="2"/>
  <c r="I366" i="2"/>
  <c r="H366" i="2"/>
  <c r="G366" i="2"/>
  <c r="F366" i="2"/>
  <c r="E366" i="2"/>
  <c r="N365" i="2"/>
  <c r="M365" i="2"/>
  <c r="L365" i="2"/>
  <c r="K365" i="2"/>
  <c r="J365" i="2"/>
  <c r="I365" i="2"/>
  <c r="H365" i="2"/>
  <c r="G365" i="2"/>
  <c r="F365" i="2"/>
  <c r="E365" i="2"/>
  <c r="N364" i="2"/>
  <c r="M364" i="2"/>
  <c r="L364" i="2"/>
  <c r="K364" i="2"/>
  <c r="J364" i="2"/>
  <c r="I364" i="2"/>
  <c r="H364" i="2"/>
  <c r="G364" i="2"/>
  <c r="F364" i="2"/>
  <c r="E364" i="2"/>
  <c r="N363" i="2"/>
  <c r="M363" i="2"/>
  <c r="L363" i="2"/>
  <c r="K363" i="2"/>
  <c r="J363" i="2"/>
  <c r="I363" i="2"/>
  <c r="H363" i="2"/>
  <c r="G363" i="2"/>
  <c r="F363" i="2"/>
  <c r="E363" i="2"/>
  <c r="N362" i="2"/>
  <c r="M362" i="2"/>
  <c r="L362" i="2"/>
  <c r="K362" i="2"/>
  <c r="J362" i="2"/>
  <c r="I362" i="2"/>
  <c r="H362" i="2"/>
  <c r="G362" i="2"/>
  <c r="F362" i="2"/>
  <c r="E362" i="2"/>
  <c r="N361" i="2"/>
  <c r="M361" i="2"/>
  <c r="L361" i="2"/>
  <c r="K361" i="2"/>
  <c r="J361" i="2"/>
  <c r="I361" i="2"/>
  <c r="H361" i="2"/>
  <c r="G361" i="2"/>
  <c r="F361" i="2"/>
  <c r="E361" i="2"/>
  <c r="N360" i="2"/>
  <c r="M360" i="2"/>
  <c r="L360" i="2"/>
  <c r="K360" i="2"/>
  <c r="J360" i="2"/>
  <c r="I360" i="2"/>
  <c r="H360" i="2"/>
  <c r="G360" i="2"/>
  <c r="F360" i="2"/>
  <c r="E360" i="2"/>
  <c r="N359" i="2"/>
  <c r="M359" i="2"/>
  <c r="L359" i="2"/>
  <c r="K359" i="2"/>
  <c r="J359" i="2"/>
  <c r="I359" i="2"/>
  <c r="H359" i="2"/>
  <c r="G359" i="2"/>
  <c r="F359" i="2"/>
  <c r="E359" i="2"/>
  <c r="N358" i="2"/>
  <c r="M358" i="2"/>
  <c r="L358" i="2"/>
  <c r="K358" i="2"/>
  <c r="J358" i="2"/>
  <c r="I358" i="2"/>
  <c r="H358" i="2"/>
  <c r="G358" i="2"/>
  <c r="F358" i="2"/>
  <c r="E358" i="2"/>
  <c r="N357" i="2"/>
  <c r="M357" i="2"/>
  <c r="L357" i="2"/>
  <c r="K357" i="2"/>
  <c r="J357" i="2"/>
  <c r="I357" i="2"/>
  <c r="H357" i="2"/>
  <c r="G357" i="2"/>
  <c r="F357" i="2"/>
  <c r="E357" i="2"/>
  <c r="N356" i="2"/>
  <c r="M356" i="2"/>
  <c r="L356" i="2"/>
  <c r="K356" i="2"/>
  <c r="J356" i="2"/>
  <c r="I356" i="2"/>
  <c r="H356" i="2"/>
  <c r="G356" i="2"/>
  <c r="F356" i="2"/>
  <c r="E356" i="2"/>
  <c r="N355" i="2"/>
  <c r="M355" i="2"/>
  <c r="L355" i="2"/>
  <c r="K355" i="2"/>
  <c r="J355" i="2"/>
  <c r="I355" i="2"/>
  <c r="H355" i="2"/>
  <c r="G355" i="2"/>
  <c r="F355" i="2"/>
  <c r="E355" i="2"/>
  <c r="N354" i="2"/>
  <c r="M354" i="2"/>
  <c r="L354" i="2"/>
  <c r="K354" i="2"/>
  <c r="J354" i="2"/>
  <c r="I354" i="2"/>
  <c r="H354" i="2"/>
  <c r="G354" i="2"/>
  <c r="F354" i="2"/>
  <c r="E354" i="2"/>
  <c r="N353" i="2"/>
  <c r="M353" i="2"/>
  <c r="L353" i="2"/>
  <c r="K353" i="2"/>
  <c r="J353" i="2"/>
  <c r="I353" i="2"/>
  <c r="H353" i="2"/>
  <c r="G353" i="2"/>
  <c r="F353" i="2"/>
  <c r="E353" i="2"/>
  <c r="N352" i="2"/>
  <c r="M352" i="2"/>
  <c r="L352" i="2"/>
  <c r="K352" i="2"/>
  <c r="J352" i="2"/>
  <c r="I352" i="2"/>
  <c r="H352" i="2"/>
  <c r="G352" i="2"/>
  <c r="F352" i="2"/>
  <c r="E352" i="2"/>
  <c r="N351" i="2"/>
  <c r="M351" i="2"/>
  <c r="L351" i="2"/>
  <c r="K351" i="2"/>
  <c r="J351" i="2"/>
  <c r="I351" i="2"/>
  <c r="H351" i="2"/>
  <c r="G351" i="2"/>
  <c r="F351" i="2"/>
  <c r="E351" i="2"/>
  <c r="N350" i="2"/>
  <c r="M350" i="2"/>
  <c r="L350" i="2"/>
  <c r="K350" i="2"/>
  <c r="J350" i="2"/>
  <c r="I350" i="2"/>
  <c r="H350" i="2"/>
  <c r="G350" i="2"/>
  <c r="F350" i="2"/>
  <c r="E350" i="2"/>
  <c r="N349" i="2"/>
  <c r="M349" i="2"/>
  <c r="L349" i="2"/>
  <c r="K349" i="2"/>
  <c r="J349" i="2"/>
  <c r="I349" i="2"/>
  <c r="H349" i="2"/>
  <c r="G349" i="2"/>
  <c r="F349" i="2"/>
  <c r="E349" i="2"/>
  <c r="N348" i="2"/>
  <c r="M348" i="2"/>
  <c r="L348" i="2"/>
  <c r="K348" i="2"/>
  <c r="J348" i="2"/>
  <c r="I348" i="2"/>
  <c r="H348" i="2"/>
  <c r="G348" i="2"/>
  <c r="F348" i="2"/>
  <c r="E348" i="2"/>
  <c r="N347" i="2"/>
  <c r="M347" i="2"/>
  <c r="L347" i="2"/>
  <c r="K347" i="2"/>
  <c r="J347" i="2"/>
  <c r="I347" i="2"/>
  <c r="H347" i="2"/>
  <c r="G347" i="2"/>
  <c r="F347" i="2"/>
  <c r="E347" i="2"/>
  <c r="N346" i="2"/>
  <c r="M346" i="2"/>
  <c r="L346" i="2"/>
  <c r="K346" i="2"/>
  <c r="J346" i="2"/>
  <c r="I346" i="2"/>
  <c r="H346" i="2"/>
  <c r="G346" i="2"/>
  <c r="F346" i="2"/>
  <c r="E346" i="2"/>
  <c r="N345" i="2"/>
  <c r="M345" i="2"/>
  <c r="L345" i="2"/>
  <c r="K345" i="2"/>
  <c r="J345" i="2"/>
  <c r="I345" i="2"/>
  <c r="H345" i="2"/>
  <c r="G345" i="2"/>
  <c r="F345" i="2"/>
  <c r="E345" i="2"/>
  <c r="N344" i="2"/>
  <c r="M344" i="2"/>
  <c r="L344" i="2"/>
  <c r="K344" i="2"/>
  <c r="J344" i="2"/>
  <c r="I344" i="2"/>
  <c r="H344" i="2"/>
  <c r="G344" i="2"/>
  <c r="F344" i="2"/>
  <c r="E344" i="2"/>
  <c r="N343" i="2"/>
  <c r="M343" i="2"/>
  <c r="L343" i="2"/>
  <c r="K343" i="2"/>
  <c r="J343" i="2"/>
  <c r="I343" i="2"/>
  <c r="H343" i="2"/>
  <c r="G343" i="2"/>
  <c r="F343" i="2"/>
  <c r="E343" i="2"/>
  <c r="N342" i="2"/>
  <c r="M342" i="2"/>
  <c r="L342" i="2"/>
  <c r="K342" i="2"/>
  <c r="J342" i="2"/>
  <c r="I342" i="2"/>
  <c r="H342" i="2"/>
  <c r="G342" i="2"/>
  <c r="F342" i="2"/>
  <c r="E342" i="2"/>
  <c r="N341" i="2"/>
  <c r="M341" i="2"/>
  <c r="L341" i="2"/>
  <c r="K341" i="2"/>
  <c r="J341" i="2"/>
  <c r="I341" i="2"/>
  <c r="H341" i="2"/>
  <c r="G341" i="2"/>
  <c r="F341" i="2"/>
  <c r="E341" i="2"/>
  <c r="N340" i="2"/>
  <c r="M340" i="2"/>
  <c r="L340" i="2"/>
  <c r="K340" i="2"/>
  <c r="J340" i="2"/>
  <c r="I340" i="2"/>
  <c r="H340" i="2"/>
  <c r="G340" i="2"/>
  <c r="F340" i="2"/>
  <c r="E340" i="2"/>
  <c r="N339" i="2"/>
  <c r="M339" i="2"/>
  <c r="L339" i="2"/>
  <c r="K339" i="2"/>
  <c r="J339" i="2"/>
  <c r="I339" i="2"/>
  <c r="H339" i="2"/>
  <c r="G339" i="2"/>
  <c r="F339" i="2"/>
  <c r="E339" i="2"/>
  <c r="N338" i="2"/>
  <c r="M338" i="2"/>
  <c r="L338" i="2"/>
  <c r="K338" i="2"/>
  <c r="J338" i="2"/>
  <c r="I338" i="2"/>
  <c r="H338" i="2"/>
  <c r="G338" i="2"/>
  <c r="F338" i="2"/>
  <c r="E338" i="2"/>
  <c r="N337" i="2"/>
  <c r="M337" i="2"/>
  <c r="L337" i="2"/>
  <c r="K337" i="2"/>
  <c r="J337" i="2"/>
  <c r="I337" i="2"/>
  <c r="H337" i="2"/>
  <c r="G337" i="2"/>
  <c r="F337" i="2"/>
  <c r="E337" i="2"/>
  <c r="N336" i="2"/>
  <c r="M336" i="2"/>
  <c r="L336" i="2"/>
  <c r="K336" i="2"/>
  <c r="J336" i="2"/>
  <c r="I336" i="2"/>
  <c r="H336" i="2"/>
  <c r="G336" i="2"/>
  <c r="F336" i="2"/>
  <c r="E336" i="2"/>
  <c r="N335" i="2"/>
  <c r="M335" i="2"/>
  <c r="L335" i="2"/>
  <c r="K335" i="2"/>
  <c r="J335" i="2"/>
  <c r="I335" i="2"/>
  <c r="H335" i="2"/>
  <c r="G335" i="2"/>
  <c r="F335" i="2"/>
  <c r="E335" i="2"/>
  <c r="N334" i="2"/>
  <c r="M334" i="2"/>
  <c r="L334" i="2"/>
  <c r="K334" i="2"/>
  <c r="J334" i="2"/>
  <c r="I334" i="2"/>
  <c r="H334" i="2"/>
  <c r="G334" i="2"/>
  <c r="F334" i="2"/>
  <c r="E334" i="2"/>
  <c r="N333" i="2"/>
  <c r="M333" i="2"/>
  <c r="L333" i="2"/>
  <c r="K333" i="2"/>
  <c r="J333" i="2"/>
  <c r="I333" i="2"/>
  <c r="H333" i="2"/>
  <c r="G333" i="2"/>
  <c r="F333" i="2"/>
  <c r="E333" i="2"/>
  <c r="N332" i="2"/>
  <c r="M332" i="2"/>
  <c r="L332" i="2"/>
  <c r="K332" i="2"/>
  <c r="J332" i="2"/>
  <c r="I332" i="2"/>
  <c r="H332" i="2"/>
  <c r="G332" i="2"/>
  <c r="F332" i="2"/>
  <c r="E332" i="2"/>
  <c r="N331" i="2"/>
  <c r="M331" i="2"/>
  <c r="L331" i="2"/>
  <c r="K331" i="2"/>
  <c r="J331" i="2"/>
  <c r="I331" i="2"/>
  <c r="H331" i="2"/>
  <c r="G331" i="2"/>
  <c r="F331" i="2"/>
  <c r="E331" i="2"/>
  <c r="N330" i="2"/>
  <c r="M330" i="2"/>
  <c r="L330" i="2"/>
  <c r="K330" i="2"/>
  <c r="J330" i="2"/>
  <c r="I330" i="2"/>
  <c r="H330" i="2"/>
  <c r="G330" i="2"/>
  <c r="F330" i="2"/>
  <c r="E330" i="2"/>
  <c r="N329" i="2"/>
  <c r="M329" i="2"/>
  <c r="L329" i="2"/>
  <c r="K329" i="2"/>
  <c r="J329" i="2"/>
  <c r="I329" i="2"/>
  <c r="H329" i="2"/>
  <c r="G329" i="2"/>
  <c r="F329" i="2"/>
  <c r="E329" i="2"/>
  <c r="N328" i="2"/>
  <c r="M328" i="2"/>
  <c r="L328" i="2"/>
  <c r="K328" i="2"/>
  <c r="J328" i="2"/>
  <c r="I328" i="2"/>
  <c r="H328" i="2"/>
  <c r="G328" i="2"/>
  <c r="F328" i="2"/>
  <c r="E328" i="2"/>
  <c r="N327" i="2"/>
  <c r="M327" i="2"/>
  <c r="L327" i="2"/>
  <c r="K327" i="2"/>
  <c r="J327" i="2"/>
  <c r="I327" i="2"/>
  <c r="H327" i="2"/>
  <c r="G327" i="2"/>
  <c r="F327" i="2"/>
  <c r="E327" i="2"/>
  <c r="N326" i="2"/>
  <c r="M326" i="2"/>
  <c r="L326" i="2"/>
  <c r="K326" i="2"/>
  <c r="J326" i="2"/>
  <c r="I326" i="2"/>
  <c r="H326" i="2"/>
  <c r="G326" i="2"/>
  <c r="F326" i="2"/>
  <c r="E326" i="2"/>
  <c r="N325" i="2"/>
  <c r="M325" i="2"/>
  <c r="L325" i="2"/>
  <c r="K325" i="2"/>
  <c r="J325" i="2"/>
  <c r="I325" i="2"/>
  <c r="H325" i="2"/>
  <c r="G325" i="2"/>
  <c r="F325" i="2"/>
  <c r="E325" i="2"/>
  <c r="N324" i="2"/>
  <c r="M324" i="2"/>
  <c r="L324" i="2"/>
  <c r="K324" i="2"/>
  <c r="J324" i="2"/>
  <c r="I324" i="2"/>
  <c r="H324" i="2"/>
  <c r="G324" i="2"/>
  <c r="F324" i="2"/>
  <c r="E324" i="2"/>
  <c r="N323" i="2"/>
  <c r="M323" i="2"/>
  <c r="L323" i="2"/>
  <c r="K323" i="2"/>
  <c r="J323" i="2"/>
  <c r="I323" i="2"/>
  <c r="H323" i="2"/>
  <c r="G323" i="2"/>
  <c r="F323" i="2"/>
  <c r="E323" i="2"/>
  <c r="N322" i="2"/>
  <c r="M322" i="2"/>
  <c r="L322" i="2"/>
  <c r="K322" i="2"/>
  <c r="J322" i="2"/>
  <c r="I322" i="2"/>
  <c r="H322" i="2"/>
  <c r="G322" i="2"/>
  <c r="F322" i="2"/>
  <c r="E322" i="2"/>
  <c r="N321" i="2"/>
  <c r="M321" i="2"/>
  <c r="L321" i="2"/>
  <c r="K321" i="2"/>
  <c r="J321" i="2"/>
  <c r="I321" i="2"/>
  <c r="H321" i="2"/>
  <c r="G321" i="2"/>
  <c r="F321" i="2"/>
  <c r="E321" i="2"/>
  <c r="N320" i="2"/>
  <c r="M320" i="2"/>
  <c r="L320" i="2"/>
  <c r="K320" i="2"/>
  <c r="J320" i="2"/>
  <c r="I320" i="2"/>
  <c r="H320" i="2"/>
  <c r="G320" i="2"/>
  <c r="F320" i="2"/>
  <c r="E320" i="2"/>
  <c r="N319" i="2"/>
  <c r="M319" i="2"/>
  <c r="L319" i="2"/>
  <c r="K319" i="2"/>
  <c r="J319" i="2"/>
  <c r="I319" i="2"/>
  <c r="H319" i="2"/>
  <c r="G319" i="2"/>
  <c r="F319" i="2"/>
  <c r="E319" i="2"/>
  <c r="N318" i="2"/>
  <c r="M318" i="2"/>
  <c r="L318" i="2"/>
  <c r="K318" i="2"/>
  <c r="J318" i="2"/>
  <c r="I318" i="2"/>
  <c r="H318" i="2"/>
  <c r="G318" i="2"/>
  <c r="F318" i="2"/>
  <c r="E318" i="2"/>
  <c r="N317" i="2"/>
  <c r="M317" i="2"/>
  <c r="L317" i="2"/>
  <c r="K317" i="2"/>
  <c r="J317" i="2"/>
  <c r="I317" i="2"/>
  <c r="H317" i="2"/>
  <c r="G317" i="2"/>
  <c r="F317" i="2"/>
  <c r="E317" i="2"/>
  <c r="N316" i="2"/>
  <c r="M316" i="2"/>
  <c r="L316" i="2"/>
  <c r="K316" i="2"/>
  <c r="J316" i="2"/>
  <c r="I316" i="2"/>
  <c r="H316" i="2"/>
  <c r="G316" i="2"/>
  <c r="F316" i="2"/>
  <c r="E316" i="2"/>
  <c r="N315" i="2"/>
  <c r="M315" i="2"/>
  <c r="L315" i="2"/>
  <c r="K315" i="2"/>
  <c r="J315" i="2"/>
  <c r="I315" i="2"/>
  <c r="H315" i="2"/>
  <c r="G315" i="2"/>
  <c r="F315" i="2"/>
  <c r="E315" i="2"/>
  <c r="N314" i="2"/>
  <c r="M314" i="2"/>
  <c r="L314" i="2"/>
  <c r="K314" i="2"/>
  <c r="J314" i="2"/>
  <c r="I314" i="2"/>
  <c r="H314" i="2"/>
  <c r="G314" i="2"/>
  <c r="F314" i="2"/>
  <c r="E314" i="2"/>
  <c r="N313" i="2"/>
  <c r="M313" i="2"/>
  <c r="L313" i="2"/>
  <c r="K313" i="2"/>
  <c r="J313" i="2"/>
  <c r="I313" i="2"/>
  <c r="H313" i="2"/>
  <c r="G313" i="2"/>
  <c r="F313" i="2"/>
  <c r="E313" i="2"/>
  <c r="N312" i="2"/>
  <c r="M312" i="2"/>
  <c r="L312" i="2"/>
  <c r="K312" i="2"/>
  <c r="J312" i="2"/>
  <c r="I312" i="2"/>
  <c r="H312" i="2"/>
  <c r="G312" i="2"/>
  <c r="F312" i="2"/>
  <c r="E312" i="2"/>
  <c r="N311" i="2"/>
  <c r="M311" i="2"/>
  <c r="L311" i="2"/>
  <c r="K311" i="2"/>
  <c r="J311" i="2"/>
  <c r="I311" i="2"/>
  <c r="H311" i="2"/>
  <c r="G311" i="2"/>
  <c r="F311" i="2"/>
  <c r="E311" i="2"/>
  <c r="N310" i="2"/>
  <c r="M310" i="2"/>
  <c r="L310" i="2"/>
  <c r="K310" i="2"/>
  <c r="J310" i="2"/>
  <c r="I310" i="2"/>
  <c r="H310" i="2"/>
  <c r="G310" i="2"/>
  <c r="F310" i="2"/>
  <c r="E310" i="2"/>
  <c r="N309" i="2"/>
  <c r="M309" i="2"/>
  <c r="L309" i="2"/>
  <c r="K309" i="2"/>
  <c r="J309" i="2"/>
  <c r="I309" i="2"/>
  <c r="H309" i="2"/>
  <c r="G309" i="2"/>
  <c r="F309" i="2"/>
  <c r="E309" i="2"/>
  <c r="N308" i="2"/>
  <c r="M308" i="2"/>
  <c r="L308" i="2"/>
  <c r="K308" i="2"/>
  <c r="J308" i="2"/>
  <c r="I308" i="2"/>
  <c r="H308" i="2"/>
  <c r="G308" i="2"/>
  <c r="F308" i="2"/>
  <c r="E308" i="2"/>
  <c r="N307" i="2"/>
  <c r="M307" i="2"/>
  <c r="L307" i="2"/>
  <c r="K307" i="2"/>
  <c r="J307" i="2"/>
  <c r="I307" i="2"/>
  <c r="H307" i="2"/>
  <c r="G307" i="2"/>
  <c r="F307" i="2"/>
  <c r="E307" i="2"/>
  <c r="N306" i="2"/>
  <c r="M306" i="2"/>
  <c r="L306" i="2"/>
  <c r="K306" i="2"/>
  <c r="J306" i="2"/>
  <c r="I306" i="2"/>
  <c r="H306" i="2"/>
  <c r="G306" i="2"/>
  <c r="F306" i="2"/>
  <c r="E306" i="2"/>
  <c r="N305" i="2"/>
  <c r="M305" i="2"/>
  <c r="L305" i="2"/>
  <c r="K305" i="2"/>
  <c r="J305" i="2"/>
  <c r="I305" i="2"/>
  <c r="H305" i="2"/>
  <c r="G305" i="2"/>
  <c r="F305" i="2"/>
  <c r="E305" i="2"/>
  <c r="N304" i="2"/>
  <c r="M304" i="2"/>
  <c r="L304" i="2"/>
  <c r="K304" i="2"/>
  <c r="J304" i="2"/>
  <c r="I304" i="2"/>
  <c r="H304" i="2"/>
  <c r="G304" i="2"/>
  <c r="F304" i="2"/>
  <c r="E304" i="2"/>
  <c r="N303" i="2"/>
  <c r="M303" i="2"/>
  <c r="L303" i="2"/>
  <c r="K303" i="2"/>
  <c r="J303" i="2"/>
  <c r="I303" i="2"/>
  <c r="H303" i="2"/>
  <c r="G303" i="2"/>
  <c r="F303" i="2"/>
  <c r="E303" i="2"/>
  <c r="N302" i="2"/>
  <c r="M302" i="2"/>
  <c r="L302" i="2"/>
  <c r="K302" i="2"/>
  <c r="J302" i="2"/>
  <c r="I302" i="2"/>
  <c r="H302" i="2"/>
  <c r="G302" i="2"/>
  <c r="F302" i="2"/>
  <c r="E302" i="2"/>
  <c r="N301" i="2"/>
  <c r="M301" i="2"/>
  <c r="L301" i="2"/>
  <c r="K301" i="2"/>
  <c r="J301" i="2"/>
  <c r="I301" i="2"/>
  <c r="H301" i="2"/>
  <c r="G301" i="2"/>
  <c r="F301" i="2"/>
  <c r="E301" i="2"/>
  <c r="N300" i="2"/>
  <c r="M300" i="2"/>
  <c r="L300" i="2"/>
  <c r="K300" i="2"/>
  <c r="J300" i="2"/>
  <c r="I300" i="2"/>
  <c r="H300" i="2"/>
  <c r="G300" i="2"/>
  <c r="F300" i="2"/>
  <c r="E300" i="2"/>
  <c r="N299" i="2"/>
  <c r="M299" i="2"/>
  <c r="L299" i="2"/>
  <c r="K299" i="2"/>
  <c r="J299" i="2"/>
  <c r="I299" i="2"/>
  <c r="H299" i="2"/>
  <c r="G299" i="2"/>
  <c r="F299" i="2"/>
  <c r="E299" i="2"/>
  <c r="N298" i="2"/>
  <c r="M298" i="2"/>
  <c r="L298" i="2"/>
  <c r="K298" i="2"/>
  <c r="J298" i="2"/>
  <c r="I298" i="2"/>
  <c r="H298" i="2"/>
  <c r="G298" i="2"/>
  <c r="F298" i="2"/>
  <c r="E298" i="2"/>
  <c r="N297" i="2"/>
  <c r="M297" i="2"/>
  <c r="L297" i="2"/>
  <c r="K297" i="2"/>
  <c r="J297" i="2"/>
  <c r="I297" i="2"/>
  <c r="H297" i="2"/>
  <c r="G297" i="2"/>
  <c r="F297" i="2"/>
  <c r="E297" i="2"/>
  <c r="N296" i="2"/>
  <c r="M296" i="2"/>
  <c r="L296" i="2"/>
  <c r="K296" i="2"/>
  <c r="J296" i="2"/>
  <c r="I296" i="2"/>
  <c r="H296" i="2"/>
  <c r="G296" i="2"/>
  <c r="F296" i="2"/>
  <c r="E296" i="2"/>
  <c r="N295" i="2"/>
  <c r="M295" i="2"/>
  <c r="L295" i="2"/>
  <c r="K295" i="2"/>
  <c r="J295" i="2"/>
  <c r="I295" i="2"/>
  <c r="H295" i="2"/>
  <c r="G295" i="2"/>
  <c r="F295" i="2"/>
  <c r="E295" i="2"/>
  <c r="N294" i="2"/>
  <c r="M294" i="2"/>
  <c r="L294" i="2"/>
  <c r="K294" i="2"/>
  <c r="J294" i="2"/>
  <c r="I294" i="2"/>
  <c r="H294" i="2"/>
  <c r="G294" i="2"/>
  <c r="F294" i="2"/>
  <c r="E294" i="2"/>
  <c r="N293" i="2"/>
  <c r="M293" i="2"/>
  <c r="L293" i="2"/>
  <c r="K293" i="2"/>
  <c r="J293" i="2"/>
  <c r="I293" i="2"/>
  <c r="H293" i="2"/>
  <c r="G293" i="2"/>
  <c r="F293" i="2"/>
  <c r="E293" i="2"/>
  <c r="N292" i="2"/>
  <c r="M292" i="2"/>
  <c r="L292" i="2"/>
  <c r="K292" i="2"/>
  <c r="J292" i="2"/>
  <c r="I292" i="2"/>
  <c r="H292" i="2"/>
  <c r="G292" i="2"/>
  <c r="F292" i="2"/>
  <c r="E292" i="2"/>
  <c r="N291" i="2"/>
  <c r="M291" i="2"/>
  <c r="L291" i="2"/>
  <c r="K291" i="2"/>
  <c r="J291" i="2"/>
  <c r="I291" i="2"/>
  <c r="H291" i="2"/>
  <c r="G291" i="2"/>
  <c r="F291" i="2"/>
  <c r="E291" i="2"/>
  <c r="N290" i="2"/>
  <c r="M290" i="2"/>
  <c r="L290" i="2"/>
  <c r="K290" i="2"/>
  <c r="J290" i="2"/>
  <c r="I290" i="2"/>
  <c r="H290" i="2"/>
  <c r="G290" i="2"/>
  <c r="F290" i="2"/>
  <c r="E290" i="2"/>
  <c r="N289" i="2"/>
  <c r="M289" i="2"/>
  <c r="L289" i="2"/>
  <c r="K289" i="2"/>
  <c r="J289" i="2"/>
  <c r="I289" i="2"/>
  <c r="H289" i="2"/>
  <c r="G289" i="2"/>
  <c r="F289" i="2"/>
  <c r="E289" i="2"/>
  <c r="N288" i="2"/>
  <c r="M288" i="2"/>
  <c r="L288" i="2"/>
  <c r="K288" i="2"/>
  <c r="J288" i="2"/>
  <c r="I288" i="2"/>
  <c r="H288" i="2"/>
  <c r="G288" i="2"/>
  <c r="F288" i="2"/>
  <c r="E288" i="2"/>
  <c r="N287" i="2"/>
  <c r="M287" i="2"/>
  <c r="L287" i="2"/>
  <c r="K287" i="2"/>
  <c r="J287" i="2"/>
  <c r="I287" i="2"/>
  <c r="H287" i="2"/>
  <c r="G287" i="2"/>
  <c r="F287" i="2"/>
  <c r="E287" i="2"/>
  <c r="N286" i="2"/>
  <c r="M286" i="2"/>
  <c r="L286" i="2"/>
  <c r="K286" i="2"/>
  <c r="J286" i="2"/>
  <c r="I286" i="2"/>
  <c r="H286" i="2"/>
  <c r="G286" i="2"/>
  <c r="F286" i="2"/>
  <c r="E286" i="2"/>
  <c r="N285" i="2"/>
  <c r="M285" i="2"/>
  <c r="L285" i="2"/>
  <c r="K285" i="2"/>
  <c r="J285" i="2"/>
  <c r="I285" i="2"/>
  <c r="H285" i="2"/>
  <c r="G285" i="2"/>
  <c r="F285" i="2"/>
  <c r="E285" i="2"/>
  <c r="N284" i="2"/>
  <c r="M284" i="2"/>
  <c r="L284" i="2"/>
  <c r="K284" i="2"/>
  <c r="J284" i="2"/>
  <c r="I284" i="2"/>
  <c r="H284" i="2"/>
  <c r="G284" i="2"/>
  <c r="F284" i="2"/>
  <c r="E284" i="2"/>
  <c r="N283" i="2"/>
  <c r="M283" i="2"/>
  <c r="L283" i="2"/>
  <c r="K283" i="2"/>
  <c r="J283" i="2"/>
  <c r="I283" i="2"/>
  <c r="H283" i="2"/>
  <c r="G283" i="2"/>
  <c r="F283" i="2"/>
  <c r="E283" i="2"/>
  <c r="N282" i="2"/>
  <c r="M282" i="2"/>
  <c r="L282" i="2"/>
  <c r="K282" i="2"/>
  <c r="J282" i="2"/>
  <c r="I282" i="2"/>
  <c r="H282" i="2"/>
  <c r="G282" i="2"/>
  <c r="F282" i="2"/>
  <c r="E282" i="2"/>
  <c r="N281" i="2"/>
  <c r="M281" i="2"/>
  <c r="L281" i="2"/>
  <c r="K281" i="2"/>
  <c r="J281" i="2"/>
  <c r="I281" i="2"/>
  <c r="H281" i="2"/>
  <c r="G281" i="2"/>
  <c r="F281" i="2"/>
  <c r="E281" i="2"/>
  <c r="N280" i="2"/>
  <c r="M280" i="2"/>
  <c r="L280" i="2"/>
  <c r="K280" i="2"/>
  <c r="J280" i="2"/>
  <c r="I280" i="2"/>
  <c r="H280" i="2"/>
  <c r="G280" i="2"/>
  <c r="F280" i="2"/>
  <c r="E280" i="2"/>
  <c r="N279" i="2"/>
  <c r="M279" i="2"/>
  <c r="L279" i="2"/>
  <c r="K279" i="2"/>
  <c r="J279" i="2"/>
  <c r="I279" i="2"/>
  <c r="H279" i="2"/>
  <c r="G279" i="2"/>
  <c r="F279" i="2"/>
  <c r="E279" i="2"/>
  <c r="N278" i="2"/>
  <c r="M278" i="2"/>
  <c r="L278" i="2"/>
  <c r="K278" i="2"/>
  <c r="J278" i="2"/>
  <c r="I278" i="2"/>
  <c r="H278" i="2"/>
  <c r="G278" i="2"/>
  <c r="F278" i="2"/>
  <c r="E278" i="2"/>
  <c r="N277" i="2"/>
  <c r="M277" i="2"/>
  <c r="L277" i="2"/>
  <c r="K277" i="2"/>
  <c r="J277" i="2"/>
  <c r="I277" i="2"/>
  <c r="H277" i="2"/>
  <c r="G277" i="2"/>
  <c r="F277" i="2"/>
  <c r="E277" i="2"/>
  <c r="N276" i="2"/>
  <c r="M276" i="2"/>
  <c r="L276" i="2"/>
  <c r="K276" i="2"/>
  <c r="J276" i="2"/>
  <c r="I276" i="2"/>
  <c r="H276" i="2"/>
  <c r="G276" i="2"/>
  <c r="F276" i="2"/>
  <c r="E276" i="2"/>
  <c r="N275" i="2"/>
  <c r="M275" i="2"/>
  <c r="L275" i="2"/>
  <c r="K275" i="2"/>
  <c r="J275" i="2"/>
  <c r="I275" i="2"/>
  <c r="H275" i="2"/>
  <c r="G275" i="2"/>
  <c r="F275" i="2"/>
  <c r="E275" i="2"/>
  <c r="N274" i="2"/>
  <c r="M274" i="2"/>
  <c r="L274" i="2"/>
  <c r="K274" i="2"/>
  <c r="J274" i="2"/>
  <c r="I274" i="2"/>
  <c r="H274" i="2"/>
  <c r="G274" i="2"/>
  <c r="F274" i="2"/>
  <c r="E274" i="2"/>
  <c r="N273" i="2"/>
  <c r="M273" i="2"/>
  <c r="L273" i="2"/>
  <c r="K273" i="2"/>
  <c r="J273" i="2"/>
  <c r="I273" i="2"/>
  <c r="H273" i="2"/>
  <c r="G273" i="2"/>
  <c r="F273" i="2"/>
  <c r="E273" i="2"/>
  <c r="N272" i="2"/>
  <c r="M272" i="2"/>
  <c r="L272" i="2"/>
  <c r="K272" i="2"/>
  <c r="J272" i="2"/>
  <c r="I272" i="2"/>
  <c r="H272" i="2"/>
  <c r="G272" i="2"/>
  <c r="F272" i="2"/>
  <c r="E272" i="2"/>
  <c r="N271" i="2"/>
  <c r="M271" i="2"/>
  <c r="L271" i="2"/>
  <c r="K271" i="2"/>
  <c r="J271" i="2"/>
  <c r="I271" i="2"/>
  <c r="H271" i="2"/>
  <c r="G271" i="2"/>
  <c r="F271" i="2"/>
  <c r="E271" i="2"/>
  <c r="N270" i="2"/>
  <c r="M270" i="2"/>
  <c r="L270" i="2"/>
  <c r="K270" i="2"/>
  <c r="J270" i="2"/>
  <c r="I270" i="2"/>
  <c r="H270" i="2"/>
  <c r="G270" i="2"/>
  <c r="F270" i="2"/>
  <c r="E270" i="2"/>
  <c r="N269" i="2"/>
  <c r="M269" i="2"/>
  <c r="L269" i="2"/>
  <c r="K269" i="2"/>
  <c r="J269" i="2"/>
  <c r="I269" i="2"/>
  <c r="H269" i="2"/>
  <c r="G269" i="2"/>
  <c r="F269" i="2"/>
  <c r="E269" i="2"/>
  <c r="N268" i="2"/>
  <c r="M268" i="2"/>
  <c r="L268" i="2"/>
  <c r="K268" i="2"/>
  <c r="J268" i="2"/>
  <c r="I268" i="2"/>
  <c r="H268" i="2"/>
  <c r="G268" i="2"/>
  <c r="F268" i="2"/>
  <c r="E268" i="2"/>
  <c r="N267" i="2"/>
  <c r="M267" i="2"/>
  <c r="L267" i="2"/>
  <c r="K267" i="2"/>
  <c r="J267" i="2"/>
  <c r="I267" i="2"/>
  <c r="H267" i="2"/>
  <c r="G267" i="2"/>
  <c r="F267" i="2"/>
  <c r="E267" i="2"/>
  <c r="N266" i="2"/>
  <c r="M266" i="2"/>
  <c r="L266" i="2"/>
  <c r="K266" i="2"/>
  <c r="J266" i="2"/>
  <c r="I266" i="2"/>
  <c r="H266" i="2"/>
  <c r="G266" i="2"/>
  <c r="F266" i="2"/>
  <c r="E266" i="2"/>
  <c r="N265" i="2"/>
  <c r="M265" i="2"/>
  <c r="L265" i="2"/>
  <c r="K265" i="2"/>
  <c r="J265" i="2"/>
  <c r="I265" i="2"/>
  <c r="H265" i="2"/>
  <c r="G265" i="2"/>
  <c r="F265" i="2"/>
  <c r="E265" i="2"/>
  <c r="N264" i="2"/>
  <c r="M264" i="2"/>
  <c r="L264" i="2"/>
  <c r="K264" i="2"/>
  <c r="J264" i="2"/>
  <c r="I264" i="2"/>
  <c r="H264" i="2"/>
  <c r="G264" i="2"/>
  <c r="F264" i="2"/>
  <c r="E264" i="2"/>
  <c r="N263" i="2"/>
  <c r="M263" i="2"/>
  <c r="L263" i="2"/>
  <c r="K263" i="2"/>
  <c r="J263" i="2"/>
  <c r="I263" i="2"/>
  <c r="H263" i="2"/>
  <c r="G263" i="2"/>
  <c r="F263" i="2"/>
  <c r="E263" i="2"/>
  <c r="N262" i="2"/>
  <c r="M262" i="2"/>
  <c r="L262" i="2"/>
  <c r="K262" i="2"/>
  <c r="J262" i="2"/>
  <c r="I262" i="2"/>
  <c r="H262" i="2"/>
  <c r="G262" i="2"/>
  <c r="F262" i="2"/>
  <c r="E262" i="2"/>
  <c r="N261" i="2"/>
  <c r="M261" i="2"/>
  <c r="L261" i="2"/>
  <c r="K261" i="2"/>
  <c r="J261" i="2"/>
  <c r="I261" i="2"/>
  <c r="H261" i="2"/>
  <c r="G261" i="2"/>
  <c r="F261" i="2"/>
  <c r="E261" i="2"/>
  <c r="N260" i="2"/>
  <c r="M260" i="2"/>
  <c r="L260" i="2"/>
  <c r="K260" i="2"/>
  <c r="J260" i="2"/>
  <c r="I260" i="2"/>
  <c r="H260" i="2"/>
  <c r="G260" i="2"/>
  <c r="F260" i="2"/>
  <c r="E260" i="2"/>
  <c r="N259" i="2"/>
  <c r="M259" i="2"/>
  <c r="L259" i="2"/>
  <c r="K259" i="2"/>
  <c r="J259" i="2"/>
  <c r="I259" i="2"/>
  <c r="H259" i="2"/>
  <c r="G259" i="2"/>
  <c r="F259" i="2"/>
  <c r="E259" i="2"/>
  <c r="N258" i="2"/>
  <c r="M258" i="2"/>
  <c r="L258" i="2"/>
  <c r="K258" i="2"/>
  <c r="J258" i="2"/>
  <c r="I258" i="2"/>
  <c r="H258" i="2"/>
  <c r="G258" i="2"/>
  <c r="F258" i="2"/>
  <c r="E258" i="2"/>
  <c r="N257" i="2"/>
  <c r="M257" i="2"/>
  <c r="L257" i="2"/>
  <c r="K257" i="2"/>
  <c r="J257" i="2"/>
  <c r="I257" i="2"/>
  <c r="H257" i="2"/>
  <c r="G257" i="2"/>
  <c r="F257" i="2"/>
  <c r="E257" i="2"/>
  <c r="N256" i="2"/>
  <c r="M256" i="2"/>
  <c r="L256" i="2"/>
  <c r="K256" i="2"/>
  <c r="J256" i="2"/>
  <c r="I256" i="2"/>
  <c r="H256" i="2"/>
  <c r="G256" i="2"/>
  <c r="F256" i="2"/>
  <c r="E256" i="2"/>
  <c r="N255" i="2"/>
  <c r="M255" i="2"/>
  <c r="L255" i="2"/>
  <c r="K255" i="2"/>
  <c r="J255" i="2"/>
  <c r="I255" i="2"/>
  <c r="H255" i="2"/>
  <c r="E488" i="2" s="1" a="1"/>
  <c r="F488" i="2" s="1"/>
  <c r="G255" i="2"/>
  <c r="F255" i="2"/>
  <c r="E255" i="2"/>
  <c r="J497" i="2" l="1"/>
  <c r="L496" i="2"/>
  <c r="N495" i="2"/>
  <c r="F495" i="2"/>
  <c r="H494" i="2"/>
  <c r="J493" i="2"/>
  <c r="L492" i="2"/>
  <c r="N491" i="2"/>
  <c r="F491" i="2"/>
  <c r="H490" i="2"/>
  <c r="J489" i="2"/>
  <c r="L488" i="2"/>
  <c r="I497" i="2"/>
  <c r="K496" i="2"/>
  <c r="M495" i="2"/>
  <c r="E495" i="2"/>
  <c r="G494" i="2"/>
  <c r="I493" i="2"/>
  <c r="K492" i="2"/>
  <c r="M491" i="2"/>
  <c r="E491" i="2"/>
  <c r="G490" i="2"/>
  <c r="I489" i="2"/>
  <c r="K488" i="2"/>
  <c r="K489" i="2"/>
  <c r="J488" i="2"/>
  <c r="G497" i="2"/>
  <c r="I496" i="2"/>
  <c r="K495" i="2"/>
  <c r="M494" i="2"/>
  <c r="E494" i="2"/>
  <c r="G493" i="2"/>
  <c r="I492" i="2"/>
  <c r="K491" i="2"/>
  <c r="M490" i="2"/>
  <c r="E490" i="2"/>
  <c r="G489" i="2"/>
  <c r="I488" i="2"/>
  <c r="M496" i="2"/>
  <c r="E496" i="2"/>
  <c r="I494" i="2"/>
  <c r="K493" i="2"/>
  <c r="M492" i="2"/>
  <c r="E492" i="2"/>
  <c r="G491" i="2"/>
  <c r="E488" i="2"/>
  <c r="H489" i="2"/>
  <c r="N497" i="2"/>
  <c r="F497" i="2"/>
  <c r="H496" i="2"/>
  <c r="J495" i="2"/>
  <c r="L494" i="2"/>
  <c r="N493" i="2"/>
  <c r="F493" i="2"/>
  <c r="H492" i="2"/>
  <c r="J491" i="2"/>
  <c r="L490" i="2"/>
  <c r="N489" i="2"/>
  <c r="F489" i="2"/>
  <c r="H488" i="2"/>
  <c r="M488" i="2"/>
  <c r="H497" i="2"/>
  <c r="J496" i="2"/>
  <c r="L495" i="2"/>
  <c r="N494" i="2"/>
  <c r="F494" i="2"/>
  <c r="H493" i="2"/>
  <c r="J492" i="2"/>
  <c r="L491" i="2"/>
  <c r="F490" i="2"/>
  <c r="M497" i="2"/>
  <c r="E497" i="2"/>
  <c r="G496" i="2"/>
  <c r="I495" i="2"/>
  <c r="K494" i="2"/>
  <c r="M493" i="2"/>
  <c r="E493" i="2"/>
  <c r="G492" i="2"/>
  <c r="I491" i="2"/>
  <c r="K490" i="2"/>
  <c r="M489" i="2"/>
  <c r="E489" i="2"/>
  <c r="G488" i="2"/>
  <c r="K497" i="2"/>
  <c r="G495" i="2"/>
  <c r="I490" i="2"/>
  <c r="N490" i="2"/>
  <c r="L497" i="2"/>
  <c r="N496" i="2"/>
  <c r="F496" i="2"/>
  <c r="H495" i="2"/>
  <c r="J494" i="2"/>
  <c r="L493" i="2"/>
  <c r="N492" i="2"/>
  <c r="F492" i="2"/>
  <c r="H491" i="2"/>
  <c r="J490" i="2"/>
  <c r="L489" i="2"/>
  <c r="N488" i="2"/>
  <c r="E501" i="2" a="1"/>
  <c r="E506" i="2" a="1"/>
  <c r="K515" i="2" l="1"/>
  <c r="L511" i="2"/>
  <c r="M507" i="2"/>
  <c r="G514" i="2"/>
  <c r="H510" i="2"/>
  <c r="I506" i="2"/>
  <c r="M512" i="2"/>
  <c r="L509" i="2"/>
  <c r="K506" i="2"/>
  <c r="E513" i="2"/>
  <c r="J507" i="2"/>
  <c r="N513" i="2"/>
  <c r="E510" i="2"/>
  <c r="F506" i="2"/>
  <c r="J512" i="2"/>
  <c r="K508" i="2"/>
  <c r="E515" i="2"/>
  <c r="F511" i="2"/>
  <c r="G507" i="2"/>
  <c r="K513" i="2"/>
  <c r="J510" i="2"/>
  <c r="I507" i="2"/>
  <c r="M513" i="2"/>
  <c r="H508" i="2"/>
  <c r="L514" i="2"/>
  <c r="M510" i="2"/>
  <c r="N506" i="2"/>
  <c r="H513" i="2"/>
  <c r="I509" i="2"/>
  <c r="M515" i="2"/>
  <c r="N511" i="2"/>
  <c r="E508" i="2"/>
  <c r="I514" i="2"/>
  <c r="H511" i="2"/>
  <c r="G508" i="2"/>
  <c r="K514" i="2"/>
  <c r="F509" i="2"/>
  <c r="J515" i="2"/>
  <c r="K511" i="2"/>
  <c r="L507" i="2"/>
  <c r="F514" i="2"/>
  <c r="G510" i="2"/>
  <c r="H506" i="2"/>
  <c r="L512" i="2"/>
  <c r="M508" i="2"/>
  <c r="G515" i="2"/>
  <c r="F512" i="2"/>
  <c r="E509" i="2"/>
  <c r="I515" i="2"/>
  <c r="L510" i="2"/>
  <c r="M506" i="2"/>
  <c r="G513" i="2"/>
  <c r="H509" i="2"/>
  <c r="L515" i="2"/>
  <c r="M511" i="2"/>
  <c r="N507" i="2"/>
  <c r="H514" i="2"/>
  <c r="I510" i="2"/>
  <c r="H507" i="2"/>
  <c r="L513" i="2"/>
  <c r="K510" i="2"/>
  <c r="K507" i="2"/>
  <c r="N509" i="2"/>
  <c r="E506" i="2"/>
  <c r="I512" i="2"/>
  <c r="J508" i="2"/>
  <c r="N514" i="2"/>
  <c r="E511" i="2"/>
  <c r="F507" i="2"/>
  <c r="J513" i="2"/>
  <c r="K509" i="2"/>
  <c r="J506" i="2"/>
  <c r="N512" i="2"/>
  <c r="M509" i="2"/>
  <c r="J511" i="2"/>
  <c r="E514" i="2"/>
  <c r="F510" i="2"/>
  <c r="G506" i="2"/>
  <c r="K512" i="2"/>
  <c r="L508" i="2"/>
  <c r="F515" i="2"/>
  <c r="G511" i="2"/>
  <c r="F508" i="2"/>
  <c r="J514" i="2"/>
  <c r="I511" i="2"/>
  <c r="H512" i="2"/>
  <c r="I508" i="2"/>
  <c r="M514" i="2"/>
  <c r="N510" i="2"/>
  <c r="E507" i="2"/>
  <c r="I513" i="2"/>
  <c r="J509" i="2"/>
  <c r="N515" i="2"/>
  <c r="E512" i="2"/>
  <c r="N508" i="2"/>
  <c r="H515" i="2"/>
  <c r="G512" i="2"/>
  <c r="L506" i="2"/>
  <c r="F513" i="2"/>
  <c r="G509" i="2"/>
  <c r="N501" i="2"/>
  <c r="G501" i="2"/>
  <c r="H501" i="2"/>
  <c r="I501" i="2"/>
  <c r="I503" i="2" s="1"/>
  <c r="E501" i="2"/>
  <c r="K501" i="2"/>
  <c r="L501" i="2"/>
  <c r="J501" i="2"/>
  <c r="M501" i="2"/>
  <c r="F501" i="2"/>
  <c r="J503" i="2" l="1"/>
  <c r="F503" i="2"/>
  <c r="G503" i="2"/>
  <c r="H503" i="2"/>
  <c r="M503" i="2"/>
  <c r="N503" i="2"/>
  <c r="L503" i="2"/>
  <c r="K503" i="2"/>
  <c r="E503" i="2"/>
</calcChain>
</file>

<file path=xl/sharedStrings.xml><?xml version="1.0" encoding="utf-8"?>
<sst xmlns="http://schemas.openxmlformats.org/spreadsheetml/2006/main" count="28" uniqueCount="19">
  <si>
    <t>1 mo</t>
  </si>
  <si>
    <t>2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</si>
  <si>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</si>
  <si>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</si>
  <si>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</si>
  <si>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</si>
  <si>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</si>
  <si>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</si>
  <si>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</si>
  <si>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</si>
  <si>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</si>
  <si>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</si>
  <si>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Date</t>
  </si>
  <si>
    <t>Eigenvalues</t>
  </si>
  <si>
    <t>Eigenvectors</t>
  </si>
  <si>
    <t>Rank</t>
  </si>
  <si>
    <t>Source Data:</t>
  </si>
  <si>
    <t>https://www.treasury.gov/resource-center/data-chart-center/interest-rates/Pages/TextView.aspx?data=yieldYear&amp;year=1996</t>
  </si>
  <si>
    <t>Err 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</si>
</sst>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14" fontId="0" fillId="0" borderId="0" xfId="0" applyNumberFormat="1"/>
    <xf numFmtId="2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First Principal Component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'Yield Curve PC'!$J$506:$J$515</c:f>
              <c:numCache>
                <c:formatCode>General</c:formatCode>
                <c:ptCount val="10"/>
                <c:pt idx="0">
                  <c:v>0.29247323897187533</c:v>
                </c:pt>
                <c:pt idx="1">
                  <c:v>0.34691287793521969</c:v>
                </c:pt>
                <c:pt idx="2">
                  <c:v>0.28008503580233057</c:v>
                </c:pt>
                <c:pt idx="3">
                  <c:v>0.29631416983886621</c:v>
                </c:pt>
                <c:pt idx="4">
                  <c:v>0.36873213113963754</c:v>
                </c:pt>
                <c:pt idx="5">
                  <c:v>0.37476270465679956</c:v>
                </c:pt>
                <c:pt idx="6">
                  <c:v>0.36094186636178316</c:v>
                </c:pt>
                <c:pt idx="7">
                  <c:v>0.3041335315797381</c:v>
                </c:pt>
                <c:pt idx="8">
                  <c:v>0.29016228114711795</c:v>
                </c:pt>
                <c:pt idx="9">
                  <c:v>0.2109035097371928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07232"/>
        <c:axId val="656104512"/>
      </c:scatterChart>
      <c:valAx>
        <c:axId val="65610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104512"/>
        <c:crosses val="autoZero"/>
        <c:crossBetween val="midCat"/>
      </c:valAx>
      <c:valAx>
        <c:axId val="65610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10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Second Principal Component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'Yield Curve PC'!$G$506:$G$515</c:f>
              <c:numCache>
                <c:formatCode>General</c:formatCode>
                <c:ptCount val="10"/>
                <c:pt idx="0">
                  <c:v>0.17201300796398117</c:v>
                </c:pt>
                <c:pt idx="1">
                  <c:v>0.22398678118446405</c:v>
                </c:pt>
                <c:pt idx="2">
                  <c:v>0.44813125545339716</c:v>
                </c:pt>
                <c:pt idx="3">
                  <c:v>0.18974283913192405</c:v>
                </c:pt>
                <c:pt idx="4">
                  <c:v>-0.35364588234768896</c:v>
                </c:pt>
                <c:pt idx="5">
                  <c:v>-0.35942972192236317</c:v>
                </c:pt>
                <c:pt idx="6">
                  <c:v>-0.34617434724557683</c:v>
                </c:pt>
                <c:pt idx="7">
                  <c:v>-0.18215591312297927</c:v>
                </c:pt>
                <c:pt idx="8">
                  <c:v>9.155130831194791E-2</c:v>
                </c:pt>
                <c:pt idx="9">
                  <c:v>0.51745844982652056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302864"/>
        <c:axId val="770301776"/>
      </c:scatterChart>
      <c:valAx>
        <c:axId val="77030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01776"/>
        <c:crosses val="autoZero"/>
        <c:crossBetween val="midCat"/>
      </c:valAx>
      <c:valAx>
        <c:axId val="77030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0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Third Principal Component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'Yield Curve PC'!$N$506:$N$515</c:f>
              <c:numCache>
                <c:formatCode>General</c:formatCode>
                <c:ptCount val="10"/>
                <c:pt idx="0">
                  <c:v>-1.0503582934401234E-2</c:v>
                </c:pt>
                <c:pt idx="1">
                  <c:v>-0.38313998767907415</c:v>
                </c:pt>
                <c:pt idx="2">
                  <c:v>-0.46405689131662164</c:v>
                </c:pt>
                <c:pt idx="3">
                  <c:v>-1.064152217304256E-2</c:v>
                </c:pt>
                <c:pt idx="4">
                  <c:v>0.10076973374355785</c:v>
                </c:pt>
                <c:pt idx="5">
                  <c:v>0.10241781167418781</c:v>
                </c:pt>
                <c:pt idx="6">
                  <c:v>9.8640754896420463E-2</c:v>
                </c:pt>
                <c:pt idx="7">
                  <c:v>-1.0922338684078041E-2</c:v>
                </c:pt>
                <c:pt idx="8">
                  <c:v>-1.042058957317759E-2</c:v>
                </c:pt>
                <c:pt idx="9">
                  <c:v>0.77912101250795307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303952"/>
        <c:axId val="770299600"/>
      </c:scatterChart>
      <c:valAx>
        <c:axId val="77030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299600"/>
        <c:crosses val="autoZero"/>
        <c:crossBetween val="midCat"/>
      </c:valAx>
      <c:valAx>
        <c:axId val="77029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0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552450</xdr:colOff>
      <xdr:row>510</xdr:row>
      <xdr:rowOff>185737</xdr:rowOff>
    </xdr:from>
    <xdr:to>
      <xdr:col>26</xdr:col>
      <xdr:colOff>247650</xdr:colOff>
      <xdr:row>525</xdr:row>
      <xdr:rowOff>71437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510</xdr:row>
      <xdr:rowOff>104775</xdr:rowOff>
    </xdr:from>
    <xdr:to>
      <xdr:col>18</xdr:col>
      <xdr:colOff>428625</xdr:colOff>
      <xdr:row>524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561975</xdr:colOff>
      <xdr:row>510</xdr:row>
      <xdr:rowOff>95250</xdr:rowOff>
    </xdr:from>
    <xdr:to>
      <xdr:col>11</xdr:col>
      <xdr:colOff>247650</xdr:colOff>
      <xdr:row>524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R515"/>
  <sheetViews>
    <sheetView tabSelected="1" topLeftCell="A489" workbookViewId="0">
      <selection activeCell="M505" sqref="M505"/>
    </sheetView>
  </sheetViews>
  <sheetFormatPr defaultRowHeight="15" x14ac:dyDescent="0.25"/>
  <cols>
    <col min="4" max="4" width="10.7109375" bestFit="1" customWidth="1"/>
    <col min="5" max="5" width="12.140625" bestFit="1" customWidth="1"/>
    <col min="6" max="6" width="12" bestFit="1" customWidth="1"/>
    <col min="7" max="8" width="9.28515625" bestFit="1" customWidth="1"/>
    <col min="9" max="9" width="12" bestFit="1" customWidth="1"/>
    <col min="10" max="11" width="9.28515625" bestFit="1" customWidth="1"/>
    <col min="12" max="12" width="12" bestFit="1" customWidth="1"/>
    <col min="13" max="13" width="11" bestFit="1" customWidth="1"/>
    <col min="14" max="14" width="9.28515625" bestFit="1" customWidth="1"/>
  </cols>
  <sheetData>
    <row r="1" spans="4:17" x14ac:dyDescent="0.25">
      <c r="D1" t="s">
        <v>12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</row>
    <row r="2" spans="4:17" x14ac:dyDescent="0.25">
      <c r="D2" s="2">
        <v>35068</v>
      </c>
      <c r="E2">
        <v>5.19</v>
      </c>
      <c r="F2">
        <v>5.23</v>
      </c>
      <c r="G2">
        <v>5.19</v>
      </c>
      <c r="H2">
        <v>5.17</v>
      </c>
      <c r="I2">
        <v>5.26</v>
      </c>
      <c r="J2">
        <v>5.39</v>
      </c>
      <c r="K2">
        <v>5.55</v>
      </c>
      <c r="L2">
        <v>5.65</v>
      </c>
      <c r="M2">
        <v>6.08</v>
      </c>
      <c r="N2">
        <v>6.03</v>
      </c>
      <c r="O2" s="3"/>
      <c r="P2" s="3"/>
      <c r="Q2" t="s">
        <v>16</v>
      </c>
    </row>
    <row r="3" spans="4:17" x14ac:dyDescent="0.25">
      <c r="D3" s="2">
        <v>35069</v>
      </c>
      <c r="E3">
        <v>5.19</v>
      </c>
      <c r="F3">
        <v>5.22</v>
      </c>
      <c r="G3">
        <v>5.19</v>
      </c>
      <c r="H3">
        <v>5.2</v>
      </c>
      <c r="I3">
        <v>5.29</v>
      </c>
      <c r="J3">
        <v>5.42</v>
      </c>
      <c r="K3">
        <v>5.59</v>
      </c>
      <c r="L3">
        <v>5.69</v>
      </c>
      <c r="M3">
        <v>6.11</v>
      </c>
      <c r="N3">
        <v>6.05</v>
      </c>
      <c r="O3" s="3"/>
      <c r="P3" s="3"/>
      <c r="Q3" t="s">
        <v>17</v>
      </c>
    </row>
    <row r="4" spans="4:17" x14ac:dyDescent="0.25">
      <c r="D4" s="2">
        <v>35072</v>
      </c>
      <c r="E4">
        <v>5.18</v>
      </c>
      <c r="F4">
        <v>5.22</v>
      </c>
      <c r="G4">
        <v>5.19</v>
      </c>
      <c r="H4">
        <v>5.2</v>
      </c>
      <c r="I4">
        <v>5.27</v>
      </c>
      <c r="J4">
        <v>5.41</v>
      </c>
      <c r="K4">
        <v>5.56</v>
      </c>
      <c r="L4">
        <v>5.68</v>
      </c>
      <c r="M4">
        <v>6.1</v>
      </c>
      <c r="N4">
        <v>6.04</v>
      </c>
      <c r="O4" s="3"/>
      <c r="P4" s="3"/>
    </row>
    <row r="5" spans="4:17" x14ac:dyDescent="0.25">
      <c r="D5" s="2">
        <v>35073</v>
      </c>
      <c r="E5">
        <v>5.18</v>
      </c>
      <c r="F5">
        <v>5.2</v>
      </c>
      <c r="G5">
        <v>5.16</v>
      </c>
      <c r="H5">
        <v>5.18</v>
      </c>
      <c r="I5">
        <v>5.27</v>
      </c>
      <c r="J5">
        <v>5.41</v>
      </c>
      <c r="K5">
        <v>5.58</v>
      </c>
      <c r="L5">
        <v>5.7</v>
      </c>
      <c r="M5">
        <v>6.12</v>
      </c>
      <c r="N5">
        <v>6.06</v>
      </c>
      <c r="O5" s="3"/>
      <c r="P5" s="3"/>
    </row>
    <row r="6" spans="4:17" x14ac:dyDescent="0.25">
      <c r="D6" s="2">
        <v>35074</v>
      </c>
      <c r="E6">
        <v>5.19</v>
      </c>
      <c r="F6">
        <v>5.19</v>
      </c>
      <c r="G6">
        <v>5.19</v>
      </c>
      <c r="H6">
        <v>5.22</v>
      </c>
      <c r="I6">
        <v>5.33</v>
      </c>
      <c r="J6">
        <v>5.5</v>
      </c>
      <c r="K6">
        <v>5.67</v>
      </c>
      <c r="L6">
        <v>5.8</v>
      </c>
      <c r="M6">
        <v>6.23</v>
      </c>
      <c r="N6">
        <v>6.16</v>
      </c>
      <c r="O6" s="3"/>
      <c r="P6" s="3"/>
    </row>
    <row r="7" spans="4:17" x14ac:dyDescent="0.25">
      <c r="D7" s="2">
        <v>35075</v>
      </c>
      <c r="E7">
        <v>5.19</v>
      </c>
      <c r="F7">
        <v>5.19</v>
      </c>
      <c r="G7">
        <v>5.16</v>
      </c>
      <c r="H7">
        <v>5.22</v>
      </c>
      <c r="I7">
        <v>5.31</v>
      </c>
      <c r="J7">
        <v>5.47</v>
      </c>
      <c r="K7">
        <v>5.67</v>
      </c>
      <c r="L7">
        <v>5.78</v>
      </c>
      <c r="M7">
        <v>6.22</v>
      </c>
      <c r="N7">
        <v>6.16</v>
      </c>
      <c r="O7" s="3"/>
      <c r="P7" s="3"/>
    </row>
    <row r="8" spans="4:17" x14ac:dyDescent="0.25">
      <c r="D8" s="2">
        <v>35076</v>
      </c>
      <c r="E8">
        <v>5.18</v>
      </c>
      <c r="F8">
        <v>5.18</v>
      </c>
      <c r="G8">
        <v>5.14</v>
      </c>
      <c r="H8">
        <v>5.17</v>
      </c>
      <c r="I8">
        <v>5.26</v>
      </c>
      <c r="J8">
        <v>5.4</v>
      </c>
      <c r="K8">
        <v>5.64</v>
      </c>
      <c r="L8">
        <v>5.75</v>
      </c>
      <c r="M8">
        <v>6.22</v>
      </c>
      <c r="N8">
        <v>6.16</v>
      </c>
      <c r="O8" s="3"/>
      <c r="P8" s="3"/>
    </row>
    <row r="9" spans="4:17" x14ac:dyDescent="0.25">
      <c r="D9" s="2">
        <v>35080</v>
      </c>
      <c r="E9">
        <v>5.14</v>
      </c>
      <c r="F9">
        <v>5.08</v>
      </c>
      <c r="G9">
        <v>5.0599999999999996</v>
      </c>
      <c r="H9">
        <v>5.08</v>
      </c>
      <c r="I9">
        <v>5.19</v>
      </c>
      <c r="J9">
        <v>5.37</v>
      </c>
      <c r="K9">
        <v>5.55</v>
      </c>
      <c r="L9">
        <v>5.66</v>
      </c>
      <c r="M9">
        <v>6.14</v>
      </c>
      <c r="N9">
        <v>6.09</v>
      </c>
      <c r="O9" s="3"/>
      <c r="P9" s="3"/>
    </row>
    <row r="10" spans="4:17" x14ac:dyDescent="0.25">
      <c r="D10" s="2">
        <v>35081</v>
      </c>
      <c r="E10">
        <v>5.14</v>
      </c>
      <c r="F10">
        <v>5.05</v>
      </c>
      <c r="G10">
        <v>5.04</v>
      </c>
      <c r="H10">
        <v>5.05</v>
      </c>
      <c r="I10">
        <v>5.14</v>
      </c>
      <c r="J10">
        <v>5.29</v>
      </c>
      <c r="K10">
        <v>5.46</v>
      </c>
      <c r="L10">
        <v>5.58</v>
      </c>
      <c r="M10">
        <v>6.05</v>
      </c>
      <c r="N10">
        <v>6</v>
      </c>
      <c r="O10" s="3"/>
      <c r="P10" s="3"/>
    </row>
    <row r="11" spans="4:17" x14ac:dyDescent="0.25">
      <c r="D11" s="2">
        <v>35082</v>
      </c>
      <c r="E11">
        <v>5.1100000000000003</v>
      </c>
      <c r="F11">
        <v>5.0199999999999996</v>
      </c>
      <c r="G11">
        <v>5.01</v>
      </c>
      <c r="H11">
        <v>5.01</v>
      </c>
      <c r="I11">
        <v>5.09</v>
      </c>
      <c r="J11">
        <v>5.25</v>
      </c>
      <c r="K11">
        <v>5.42</v>
      </c>
      <c r="L11">
        <v>5.53</v>
      </c>
      <c r="M11">
        <v>6.03</v>
      </c>
      <c r="N11">
        <v>5.98</v>
      </c>
      <c r="O11" s="3"/>
      <c r="P11" s="3"/>
    </row>
    <row r="12" spans="4:17" x14ac:dyDescent="0.25">
      <c r="D12" s="2">
        <v>35083</v>
      </c>
      <c r="E12">
        <v>5.0999999999999996</v>
      </c>
      <c r="F12">
        <v>5.0599999999999996</v>
      </c>
      <c r="G12">
        <v>5.0199999999999996</v>
      </c>
      <c r="H12">
        <v>5.03</v>
      </c>
      <c r="I12">
        <v>5.0999999999999996</v>
      </c>
      <c r="J12">
        <v>5.27</v>
      </c>
      <c r="K12">
        <v>5.43</v>
      </c>
      <c r="L12">
        <v>5.54</v>
      </c>
      <c r="M12">
        <v>6.02</v>
      </c>
      <c r="N12">
        <v>5.97</v>
      </c>
      <c r="O12" s="3"/>
      <c r="P12" s="3"/>
    </row>
    <row r="13" spans="4:17" x14ac:dyDescent="0.25">
      <c r="D13" s="2">
        <v>35086</v>
      </c>
      <c r="E13">
        <v>5.14</v>
      </c>
      <c r="F13">
        <v>5.0999999999999996</v>
      </c>
      <c r="G13">
        <v>5.0599999999999996</v>
      </c>
      <c r="H13">
        <v>5.08</v>
      </c>
      <c r="I13">
        <v>5.17</v>
      </c>
      <c r="J13">
        <v>5.34</v>
      </c>
      <c r="K13">
        <v>5.5</v>
      </c>
      <c r="L13">
        <v>5.61</v>
      </c>
      <c r="M13">
        <v>6.09</v>
      </c>
      <c r="N13">
        <v>6.04</v>
      </c>
      <c r="O13" s="3"/>
      <c r="P13" s="3"/>
    </row>
    <row r="14" spans="4:17" x14ac:dyDescent="0.25">
      <c r="D14" s="2">
        <v>35087</v>
      </c>
      <c r="E14">
        <v>5.12</v>
      </c>
      <c r="F14">
        <v>5.1100000000000003</v>
      </c>
      <c r="G14">
        <v>5.0599999999999996</v>
      </c>
      <c r="H14">
        <v>5.09</v>
      </c>
      <c r="I14">
        <v>5.18</v>
      </c>
      <c r="J14">
        <v>5.37</v>
      </c>
      <c r="K14">
        <v>5.55</v>
      </c>
      <c r="L14">
        <v>5.66</v>
      </c>
      <c r="M14">
        <v>6.14</v>
      </c>
      <c r="N14">
        <v>6.09</v>
      </c>
      <c r="O14" s="3"/>
      <c r="P14" s="3"/>
    </row>
    <row r="15" spans="4:17" x14ac:dyDescent="0.25">
      <c r="D15" s="2">
        <v>35088</v>
      </c>
      <c r="E15">
        <v>5.12</v>
      </c>
      <c r="F15">
        <v>5.0999999999999996</v>
      </c>
      <c r="G15">
        <v>5.03</v>
      </c>
      <c r="H15">
        <v>5.07</v>
      </c>
      <c r="I15">
        <v>5.16</v>
      </c>
      <c r="J15">
        <v>5.3</v>
      </c>
      <c r="K15">
        <v>5.5</v>
      </c>
      <c r="L15">
        <v>5.62</v>
      </c>
      <c r="M15">
        <v>6.08</v>
      </c>
      <c r="N15">
        <v>6.02</v>
      </c>
      <c r="O15" s="3"/>
      <c r="P15" s="3"/>
    </row>
    <row r="16" spans="4:17" x14ac:dyDescent="0.25">
      <c r="D16" s="2">
        <v>35089</v>
      </c>
      <c r="E16">
        <v>5.12</v>
      </c>
      <c r="F16">
        <v>5.12</v>
      </c>
      <c r="G16">
        <v>5.0599999999999996</v>
      </c>
      <c r="H16">
        <v>5.1100000000000003</v>
      </c>
      <c r="I16">
        <v>5.23</v>
      </c>
      <c r="J16">
        <v>5.41</v>
      </c>
      <c r="K16">
        <v>5.58</v>
      </c>
      <c r="L16">
        <v>5.7</v>
      </c>
      <c r="M16">
        <v>6.16</v>
      </c>
      <c r="N16">
        <v>6.11</v>
      </c>
      <c r="O16" s="3"/>
      <c r="P16" s="3"/>
    </row>
    <row r="17" spans="4:16" x14ac:dyDescent="0.25">
      <c r="D17" s="2">
        <v>35090</v>
      </c>
      <c r="E17">
        <v>5.1100000000000003</v>
      </c>
      <c r="F17">
        <v>5.1100000000000003</v>
      </c>
      <c r="G17">
        <v>5.0199999999999996</v>
      </c>
      <c r="H17">
        <v>5.08</v>
      </c>
      <c r="I17">
        <v>5.18</v>
      </c>
      <c r="J17">
        <v>5.34</v>
      </c>
      <c r="K17">
        <v>5.54</v>
      </c>
      <c r="L17">
        <v>5.65</v>
      </c>
      <c r="M17">
        <v>6.1</v>
      </c>
      <c r="N17">
        <v>6.04</v>
      </c>
      <c r="O17" s="3"/>
      <c r="P17" s="3"/>
    </row>
    <row r="18" spans="4:16" x14ac:dyDescent="0.25">
      <c r="D18" s="2">
        <v>35093</v>
      </c>
      <c r="E18">
        <v>5.17</v>
      </c>
      <c r="F18">
        <v>5.12</v>
      </c>
      <c r="G18">
        <v>5.05</v>
      </c>
      <c r="H18">
        <v>5.0999999999999996</v>
      </c>
      <c r="I18">
        <v>5.21</v>
      </c>
      <c r="J18">
        <v>5.37</v>
      </c>
      <c r="K18">
        <v>5.56</v>
      </c>
      <c r="L18">
        <v>5.69</v>
      </c>
      <c r="M18">
        <v>6.14</v>
      </c>
      <c r="N18">
        <v>6.09</v>
      </c>
      <c r="O18" s="3"/>
      <c r="P18" s="3"/>
    </row>
    <row r="19" spans="4:16" x14ac:dyDescent="0.25">
      <c r="D19" s="2">
        <v>35094</v>
      </c>
      <c r="E19">
        <v>5.14</v>
      </c>
      <c r="F19">
        <v>5.05</v>
      </c>
      <c r="G19">
        <v>4.9800000000000004</v>
      </c>
      <c r="H19">
        <v>5.0199999999999996</v>
      </c>
      <c r="I19">
        <v>5.13</v>
      </c>
      <c r="J19">
        <v>5.3</v>
      </c>
      <c r="K19">
        <v>5.51</v>
      </c>
      <c r="L19">
        <v>5.63</v>
      </c>
      <c r="M19">
        <v>6.08</v>
      </c>
      <c r="N19">
        <v>6.04</v>
      </c>
      <c r="O19" s="3"/>
      <c r="P19" s="3"/>
    </row>
    <row r="20" spans="4:16" x14ac:dyDescent="0.25">
      <c r="D20" s="2">
        <v>35095</v>
      </c>
      <c r="E20">
        <v>5.05</v>
      </c>
      <c r="F20">
        <v>4.97</v>
      </c>
      <c r="G20">
        <v>4.9000000000000004</v>
      </c>
      <c r="H20">
        <v>4.93</v>
      </c>
      <c r="I20">
        <v>5.0599999999999996</v>
      </c>
      <c r="J20">
        <v>5.25</v>
      </c>
      <c r="K20">
        <v>5.46</v>
      </c>
      <c r="L20">
        <v>5.6</v>
      </c>
      <c r="M20">
        <v>6.07</v>
      </c>
      <c r="N20">
        <v>6.03</v>
      </c>
      <c r="O20" s="3"/>
      <c r="P20" s="3"/>
    </row>
    <row r="21" spans="4:16" x14ac:dyDescent="0.25">
      <c r="D21" s="2">
        <v>35096</v>
      </c>
      <c r="E21">
        <v>5.03</v>
      </c>
      <c r="F21">
        <v>4.9800000000000004</v>
      </c>
      <c r="G21">
        <v>4.88</v>
      </c>
      <c r="H21">
        <v>4.93</v>
      </c>
      <c r="I21">
        <v>5.05</v>
      </c>
      <c r="J21">
        <v>5.24</v>
      </c>
      <c r="K21">
        <v>5.47</v>
      </c>
      <c r="L21">
        <v>5.63</v>
      </c>
      <c r="M21">
        <v>6.11</v>
      </c>
      <c r="N21">
        <v>6.08</v>
      </c>
      <c r="O21" s="3"/>
      <c r="P21" s="3"/>
    </row>
    <row r="22" spans="4:16" x14ac:dyDescent="0.25">
      <c r="D22" s="2">
        <v>35097</v>
      </c>
      <c r="E22">
        <v>4.99</v>
      </c>
      <c r="F22">
        <v>4.9400000000000004</v>
      </c>
      <c r="G22">
        <v>4.8499999999999996</v>
      </c>
      <c r="H22">
        <v>4.9000000000000004</v>
      </c>
      <c r="I22">
        <v>5.04</v>
      </c>
      <c r="J22">
        <v>5.24</v>
      </c>
      <c r="K22">
        <v>5.49</v>
      </c>
      <c r="L22">
        <v>5.66</v>
      </c>
      <c r="M22">
        <v>6.16</v>
      </c>
      <c r="N22">
        <v>6.15</v>
      </c>
      <c r="O22" s="3"/>
      <c r="P22" s="3"/>
    </row>
    <row r="23" spans="4:16" x14ac:dyDescent="0.25">
      <c r="D23" s="2">
        <v>35100</v>
      </c>
      <c r="E23">
        <v>5</v>
      </c>
      <c r="F23">
        <v>4.9800000000000004</v>
      </c>
      <c r="G23">
        <v>4.88</v>
      </c>
      <c r="H23">
        <v>4.95</v>
      </c>
      <c r="I23">
        <v>5.09</v>
      </c>
      <c r="J23">
        <v>5.3</v>
      </c>
      <c r="K23">
        <v>5.54</v>
      </c>
      <c r="L23">
        <v>5.7</v>
      </c>
      <c r="M23">
        <v>6.17</v>
      </c>
      <c r="N23">
        <v>6.15</v>
      </c>
      <c r="O23" s="3"/>
      <c r="P23" s="3"/>
    </row>
    <row r="24" spans="4:16" x14ac:dyDescent="0.25">
      <c r="D24" s="2">
        <v>35101</v>
      </c>
      <c r="E24">
        <v>4.9800000000000004</v>
      </c>
      <c r="F24">
        <v>4.97</v>
      </c>
      <c r="G24">
        <v>4.87</v>
      </c>
      <c r="H24">
        <v>4.93</v>
      </c>
      <c r="I24">
        <v>5.03</v>
      </c>
      <c r="J24">
        <v>5.28</v>
      </c>
      <c r="K24">
        <v>5.5</v>
      </c>
      <c r="L24">
        <v>5.68</v>
      </c>
      <c r="M24">
        <v>6.15</v>
      </c>
      <c r="N24">
        <v>6.14</v>
      </c>
      <c r="O24" s="3"/>
      <c r="P24" s="3"/>
    </row>
    <row r="25" spans="4:16" x14ac:dyDescent="0.25">
      <c r="D25" s="2">
        <v>35102</v>
      </c>
      <c r="E25">
        <v>4.9400000000000004</v>
      </c>
      <c r="F25">
        <v>4.95</v>
      </c>
      <c r="G25">
        <v>4.8600000000000003</v>
      </c>
      <c r="H25">
        <v>4.92</v>
      </c>
      <c r="I25">
        <v>5.03</v>
      </c>
      <c r="J25">
        <v>5.27</v>
      </c>
      <c r="K25">
        <v>5.51</v>
      </c>
      <c r="L25">
        <v>5.66</v>
      </c>
      <c r="M25">
        <v>6.17</v>
      </c>
      <c r="N25">
        <v>6.15</v>
      </c>
      <c r="O25" s="3"/>
      <c r="P25" s="3"/>
    </row>
    <row r="26" spans="4:16" x14ac:dyDescent="0.25">
      <c r="D26" s="2">
        <v>35103</v>
      </c>
      <c r="E26">
        <v>4.92</v>
      </c>
      <c r="F26">
        <v>4.93</v>
      </c>
      <c r="G26">
        <v>4.84</v>
      </c>
      <c r="H26">
        <v>4.9000000000000004</v>
      </c>
      <c r="I26">
        <v>5.01</v>
      </c>
      <c r="J26">
        <v>5.27</v>
      </c>
      <c r="K26">
        <v>5.51</v>
      </c>
      <c r="L26">
        <v>5.66</v>
      </c>
      <c r="M26">
        <v>6.17</v>
      </c>
      <c r="N26">
        <v>6.09</v>
      </c>
      <c r="O26" s="3"/>
      <c r="P26" s="3"/>
    </row>
    <row r="27" spans="4:16" x14ac:dyDescent="0.25">
      <c r="D27" s="2">
        <v>35104</v>
      </c>
      <c r="E27">
        <v>4.93</v>
      </c>
      <c r="F27">
        <v>4.91</v>
      </c>
      <c r="G27">
        <v>4.82</v>
      </c>
      <c r="H27">
        <v>4.8499999999999996</v>
      </c>
      <c r="I27">
        <v>4.9800000000000004</v>
      </c>
      <c r="J27">
        <v>5.25</v>
      </c>
      <c r="K27">
        <v>5.49</v>
      </c>
      <c r="L27">
        <v>5.66</v>
      </c>
      <c r="M27">
        <v>6.17</v>
      </c>
      <c r="N27">
        <v>6.11</v>
      </c>
      <c r="O27" s="3"/>
      <c r="P27" s="3"/>
    </row>
    <row r="28" spans="4:16" x14ac:dyDescent="0.25">
      <c r="D28" s="2">
        <v>35107</v>
      </c>
      <c r="E28">
        <v>4.93</v>
      </c>
      <c r="F28">
        <v>4.9000000000000004</v>
      </c>
      <c r="G28">
        <v>4.8</v>
      </c>
      <c r="H28">
        <v>4.83</v>
      </c>
      <c r="I28">
        <v>4.9400000000000004</v>
      </c>
      <c r="J28">
        <v>5.17</v>
      </c>
      <c r="K28">
        <v>5.42</v>
      </c>
      <c r="L28">
        <v>5.61</v>
      </c>
      <c r="M28">
        <v>6.1</v>
      </c>
      <c r="N28">
        <v>6.05</v>
      </c>
      <c r="O28" s="3"/>
      <c r="P28" s="3"/>
    </row>
    <row r="29" spans="4:16" x14ac:dyDescent="0.25">
      <c r="D29" s="2">
        <v>35108</v>
      </c>
      <c r="E29">
        <v>4.93</v>
      </c>
      <c r="F29">
        <v>4.8600000000000003</v>
      </c>
      <c r="G29">
        <v>4.79</v>
      </c>
      <c r="H29">
        <v>4.8</v>
      </c>
      <c r="I29">
        <v>4.8899999999999997</v>
      </c>
      <c r="J29">
        <v>5.14</v>
      </c>
      <c r="K29">
        <v>5.39</v>
      </c>
      <c r="L29">
        <v>5.58</v>
      </c>
      <c r="M29">
        <v>6.08</v>
      </c>
      <c r="N29">
        <v>6.02</v>
      </c>
      <c r="O29" s="3"/>
      <c r="P29" s="3"/>
    </row>
    <row r="30" spans="4:16" x14ac:dyDescent="0.25">
      <c r="D30" s="2">
        <v>35109</v>
      </c>
      <c r="E30">
        <v>4.9400000000000004</v>
      </c>
      <c r="F30">
        <v>4.9000000000000004</v>
      </c>
      <c r="G30">
        <v>4.8</v>
      </c>
      <c r="H30">
        <v>4.82</v>
      </c>
      <c r="I30">
        <v>4.91</v>
      </c>
      <c r="J30">
        <v>5.17</v>
      </c>
      <c r="K30">
        <v>5.43</v>
      </c>
      <c r="L30">
        <v>5.62</v>
      </c>
      <c r="M30">
        <v>6.13</v>
      </c>
      <c r="N30">
        <v>6.07</v>
      </c>
      <c r="O30" s="3"/>
      <c r="P30" s="3"/>
    </row>
    <row r="31" spans="4:16" x14ac:dyDescent="0.25">
      <c r="D31" s="2">
        <v>35110</v>
      </c>
      <c r="E31">
        <v>4.92</v>
      </c>
      <c r="F31">
        <v>4.92</v>
      </c>
      <c r="G31">
        <v>4.84</v>
      </c>
      <c r="H31">
        <v>4.87</v>
      </c>
      <c r="I31">
        <v>4.95</v>
      </c>
      <c r="J31">
        <v>5.23</v>
      </c>
      <c r="K31">
        <v>5.5</v>
      </c>
      <c r="L31">
        <v>5.7</v>
      </c>
      <c r="M31">
        <v>6.22</v>
      </c>
      <c r="N31">
        <v>6.16</v>
      </c>
      <c r="O31" s="3"/>
      <c r="P31" s="3"/>
    </row>
    <row r="32" spans="4:16" x14ac:dyDescent="0.25">
      <c r="D32" s="2">
        <v>35111</v>
      </c>
      <c r="E32">
        <v>4.8899999999999997</v>
      </c>
      <c r="F32">
        <v>4.9000000000000004</v>
      </c>
      <c r="G32">
        <v>4.84</v>
      </c>
      <c r="H32">
        <v>4.9000000000000004</v>
      </c>
      <c r="I32">
        <v>5.01</v>
      </c>
      <c r="J32">
        <v>5.29</v>
      </c>
      <c r="K32">
        <v>5.58</v>
      </c>
      <c r="L32">
        <v>5.76</v>
      </c>
      <c r="M32">
        <v>6.27</v>
      </c>
      <c r="N32">
        <v>6.23</v>
      </c>
      <c r="O32" s="3"/>
      <c r="P32" s="3"/>
    </row>
    <row r="33" spans="4:16" x14ac:dyDescent="0.25">
      <c r="D33" s="2">
        <v>35115</v>
      </c>
      <c r="E33">
        <v>4.99</v>
      </c>
      <c r="F33">
        <v>5.09</v>
      </c>
      <c r="G33">
        <v>5.09</v>
      </c>
      <c r="H33">
        <v>5.18</v>
      </c>
      <c r="I33">
        <v>5.3</v>
      </c>
      <c r="J33">
        <v>5.53</v>
      </c>
      <c r="K33">
        <v>5.83</v>
      </c>
      <c r="L33">
        <v>6.01</v>
      </c>
      <c r="M33">
        <v>6.45</v>
      </c>
      <c r="N33">
        <v>6.39</v>
      </c>
      <c r="O33" s="3"/>
      <c r="P33" s="3"/>
    </row>
    <row r="34" spans="4:16" x14ac:dyDescent="0.25">
      <c r="D34" s="2">
        <v>35116</v>
      </c>
      <c r="E34">
        <v>4.96</v>
      </c>
      <c r="F34">
        <v>5.03</v>
      </c>
      <c r="G34">
        <v>5.05</v>
      </c>
      <c r="H34">
        <v>5.16</v>
      </c>
      <c r="I34">
        <v>5.3</v>
      </c>
      <c r="J34">
        <v>5.56</v>
      </c>
      <c r="K34">
        <v>5.81</v>
      </c>
      <c r="L34">
        <v>5.98</v>
      </c>
      <c r="M34">
        <v>6.47</v>
      </c>
      <c r="N34">
        <v>6.39</v>
      </c>
      <c r="O34" s="3"/>
      <c r="P34" s="3"/>
    </row>
    <row r="35" spans="4:16" x14ac:dyDescent="0.25">
      <c r="D35" s="2">
        <v>35117</v>
      </c>
      <c r="E35">
        <v>4.95</v>
      </c>
      <c r="F35">
        <v>4.9800000000000004</v>
      </c>
      <c r="G35">
        <v>4.99</v>
      </c>
      <c r="H35">
        <v>5.1100000000000003</v>
      </c>
      <c r="I35">
        <v>5.23</v>
      </c>
      <c r="J35">
        <v>5.47</v>
      </c>
      <c r="K35">
        <v>5.76</v>
      </c>
      <c r="L35">
        <v>5.92</v>
      </c>
      <c r="M35">
        <v>6.43</v>
      </c>
      <c r="N35">
        <v>6.36</v>
      </c>
      <c r="O35" s="3"/>
      <c r="P35" s="3"/>
    </row>
    <row r="36" spans="4:16" x14ac:dyDescent="0.25">
      <c r="D36" s="2">
        <v>35118</v>
      </c>
      <c r="E36">
        <v>4.97</v>
      </c>
      <c r="F36">
        <v>4.99</v>
      </c>
      <c r="G36">
        <v>5.0199999999999996</v>
      </c>
      <c r="H36">
        <v>5.13</v>
      </c>
      <c r="I36">
        <v>5.29</v>
      </c>
      <c r="J36">
        <v>5.53</v>
      </c>
      <c r="K36">
        <v>5.82</v>
      </c>
      <c r="L36">
        <v>5.97</v>
      </c>
      <c r="M36">
        <v>6.5</v>
      </c>
      <c r="N36">
        <v>6.42</v>
      </c>
      <c r="O36" s="3"/>
      <c r="P36" s="3"/>
    </row>
    <row r="37" spans="4:16" x14ac:dyDescent="0.25">
      <c r="D37" s="2">
        <v>35121</v>
      </c>
      <c r="E37">
        <v>4.9800000000000004</v>
      </c>
      <c r="F37">
        <v>4.9800000000000004</v>
      </c>
      <c r="G37">
        <v>5.05</v>
      </c>
      <c r="H37">
        <v>5.18</v>
      </c>
      <c r="I37">
        <v>5.33</v>
      </c>
      <c r="J37">
        <v>5.56</v>
      </c>
      <c r="K37">
        <v>5.85</v>
      </c>
      <c r="L37">
        <v>6.01</v>
      </c>
      <c r="M37">
        <v>6.54</v>
      </c>
      <c r="N37">
        <v>6.45</v>
      </c>
      <c r="O37" s="3"/>
      <c r="P37" s="3"/>
    </row>
    <row r="38" spans="4:16" x14ac:dyDescent="0.25">
      <c r="D38" s="2">
        <v>35122</v>
      </c>
      <c r="E38">
        <v>5.01</v>
      </c>
      <c r="F38">
        <v>5.0199999999999996</v>
      </c>
      <c r="G38">
        <v>5.12</v>
      </c>
      <c r="H38">
        <v>5.28</v>
      </c>
      <c r="I38">
        <v>5.41</v>
      </c>
      <c r="J38">
        <v>5.63</v>
      </c>
      <c r="K38">
        <v>5.9</v>
      </c>
      <c r="L38">
        <v>6.06</v>
      </c>
      <c r="M38">
        <v>6.56</v>
      </c>
      <c r="N38">
        <v>6.47</v>
      </c>
      <c r="O38" s="3"/>
      <c r="P38" s="3"/>
    </row>
    <row r="39" spans="4:16" x14ac:dyDescent="0.25">
      <c r="D39" s="2">
        <v>35123</v>
      </c>
      <c r="E39">
        <v>5.01</v>
      </c>
      <c r="F39">
        <v>5.05</v>
      </c>
      <c r="G39">
        <v>5.22</v>
      </c>
      <c r="H39">
        <v>5.43</v>
      </c>
      <c r="I39">
        <v>5.51</v>
      </c>
      <c r="J39">
        <v>5.73</v>
      </c>
      <c r="K39">
        <v>5.97</v>
      </c>
      <c r="L39">
        <v>6.11</v>
      </c>
      <c r="M39">
        <v>6.58</v>
      </c>
      <c r="N39">
        <v>6.48</v>
      </c>
      <c r="O39" s="3"/>
      <c r="P39" s="3"/>
    </row>
    <row r="40" spans="4:16" x14ac:dyDescent="0.25">
      <c r="D40" s="2">
        <v>35124</v>
      </c>
      <c r="E40">
        <v>5.0199999999999996</v>
      </c>
      <c r="F40">
        <v>5.05</v>
      </c>
      <c r="G40">
        <v>5.23</v>
      </c>
      <c r="H40">
        <v>5.44</v>
      </c>
      <c r="I40">
        <v>5.56</v>
      </c>
      <c r="J40">
        <v>5.73</v>
      </c>
      <c r="K40">
        <v>5.99</v>
      </c>
      <c r="L40">
        <v>6.13</v>
      </c>
      <c r="M40">
        <v>6.57</v>
      </c>
      <c r="N40">
        <v>6.48</v>
      </c>
      <c r="O40" s="3"/>
      <c r="P40" s="3"/>
    </row>
    <row r="41" spans="4:16" x14ac:dyDescent="0.25">
      <c r="D41" s="2">
        <v>35125</v>
      </c>
      <c r="E41">
        <v>4.9800000000000004</v>
      </c>
      <c r="F41">
        <v>4.9400000000000004</v>
      </c>
      <c r="G41">
        <v>5.07</v>
      </c>
      <c r="H41">
        <v>5.26</v>
      </c>
      <c r="I41">
        <v>5.4</v>
      </c>
      <c r="J41">
        <v>5.6</v>
      </c>
      <c r="K41">
        <v>5.86</v>
      </c>
      <c r="L41">
        <v>5.99</v>
      </c>
      <c r="M41">
        <v>6.48</v>
      </c>
      <c r="N41">
        <v>6.38</v>
      </c>
      <c r="O41" s="3"/>
      <c r="P41" s="3"/>
    </row>
    <row r="42" spans="4:16" x14ac:dyDescent="0.25">
      <c r="D42" s="2">
        <v>35128</v>
      </c>
      <c r="E42">
        <v>5.0199999999999996</v>
      </c>
      <c r="F42">
        <v>4.9800000000000004</v>
      </c>
      <c r="G42">
        <v>5.0199999999999996</v>
      </c>
      <c r="H42">
        <v>5.21</v>
      </c>
      <c r="I42">
        <v>5.32</v>
      </c>
      <c r="J42">
        <v>5.52</v>
      </c>
      <c r="K42">
        <v>5.78</v>
      </c>
      <c r="L42">
        <v>5.92</v>
      </c>
      <c r="M42">
        <v>6.43</v>
      </c>
      <c r="N42">
        <v>6.34</v>
      </c>
      <c r="O42" s="3"/>
      <c r="P42" s="3"/>
    </row>
    <row r="43" spans="4:16" x14ac:dyDescent="0.25">
      <c r="D43" s="2">
        <v>35129</v>
      </c>
      <c r="E43">
        <v>5.0199999999999996</v>
      </c>
      <c r="F43">
        <v>5.01</v>
      </c>
      <c r="G43">
        <v>5.07</v>
      </c>
      <c r="H43">
        <v>5.28</v>
      </c>
      <c r="I43">
        <v>5.4</v>
      </c>
      <c r="J43">
        <v>5.6</v>
      </c>
      <c r="K43">
        <v>5.84</v>
      </c>
      <c r="L43">
        <v>5.96</v>
      </c>
      <c r="M43">
        <v>6.48</v>
      </c>
      <c r="N43">
        <v>6.39</v>
      </c>
      <c r="O43" s="3"/>
      <c r="P43" s="3"/>
    </row>
    <row r="44" spans="4:16" x14ac:dyDescent="0.25">
      <c r="D44" s="2">
        <v>35130</v>
      </c>
      <c r="E44">
        <v>5.03</v>
      </c>
      <c r="F44">
        <v>5.05</v>
      </c>
      <c r="G44">
        <v>5.13</v>
      </c>
      <c r="H44">
        <v>5.36</v>
      </c>
      <c r="I44">
        <v>5.48</v>
      </c>
      <c r="J44">
        <v>5.68</v>
      </c>
      <c r="K44">
        <v>5.93</v>
      </c>
      <c r="L44">
        <v>6.05</v>
      </c>
      <c r="M44">
        <v>6.54</v>
      </c>
      <c r="N44">
        <v>6.44</v>
      </c>
      <c r="O44" s="3"/>
      <c r="P44" s="3"/>
    </row>
    <row r="45" spans="4:16" x14ac:dyDescent="0.25">
      <c r="D45" s="2">
        <v>35131</v>
      </c>
      <c r="E45">
        <v>5.03</v>
      </c>
      <c r="F45">
        <v>5.0599999999999996</v>
      </c>
      <c r="G45">
        <v>5.14</v>
      </c>
      <c r="H45">
        <v>5.4</v>
      </c>
      <c r="I45">
        <v>5.53</v>
      </c>
      <c r="J45">
        <v>5.71</v>
      </c>
      <c r="K45">
        <v>5.96</v>
      </c>
      <c r="L45">
        <v>6.07</v>
      </c>
      <c r="M45">
        <v>6.56</v>
      </c>
      <c r="N45">
        <v>6.46</v>
      </c>
      <c r="O45" s="3"/>
      <c r="P45" s="3"/>
    </row>
    <row r="46" spans="4:16" x14ac:dyDescent="0.25">
      <c r="D46" s="2">
        <v>35132</v>
      </c>
      <c r="E46">
        <v>5.01</v>
      </c>
      <c r="F46">
        <v>5.2</v>
      </c>
      <c r="G46">
        <v>5.39</v>
      </c>
      <c r="H46">
        <v>5.73</v>
      </c>
      <c r="I46">
        <v>5.88</v>
      </c>
      <c r="J46">
        <v>6.05</v>
      </c>
      <c r="K46">
        <v>6.28</v>
      </c>
      <c r="L46">
        <v>6.41</v>
      </c>
      <c r="M46">
        <v>6.84</v>
      </c>
      <c r="N46">
        <v>6.7</v>
      </c>
      <c r="O46" s="3"/>
      <c r="P46" s="3"/>
    </row>
    <row r="47" spans="4:16" x14ac:dyDescent="0.25">
      <c r="D47" s="2">
        <v>35135</v>
      </c>
      <c r="E47">
        <v>5.09</v>
      </c>
      <c r="F47">
        <v>5.18</v>
      </c>
      <c r="G47">
        <v>5.38</v>
      </c>
      <c r="H47">
        <v>5.71</v>
      </c>
      <c r="I47">
        <v>5.86</v>
      </c>
      <c r="J47">
        <v>6</v>
      </c>
      <c r="K47">
        <v>6.24</v>
      </c>
      <c r="L47">
        <v>6.33</v>
      </c>
      <c r="M47">
        <v>6.76</v>
      </c>
      <c r="N47">
        <v>6.63</v>
      </c>
      <c r="O47" s="3"/>
      <c r="P47" s="3"/>
    </row>
    <row r="48" spans="4:16" x14ac:dyDescent="0.25">
      <c r="D48" s="2">
        <v>35136</v>
      </c>
      <c r="E48">
        <v>5.09</v>
      </c>
      <c r="F48">
        <v>5.19</v>
      </c>
      <c r="G48">
        <v>5.41</v>
      </c>
      <c r="H48">
        <v>5.78</v>
      </c>
      <c r="I48">
        <v>5.92</v>
      </c>
      <c r="J48">
        <v>6.04</v>
      </c>
      <c r="K48">
        <v>6.28</v>
      </c>
      <c r="L48">
        <v>6.36</v>
      </c>
      <c r="M48">
        <v>6.79</v>
      </c>
      <c r="N48">
        <v>6.66</v>
      </c>
      <c r="O48" s="3"/>
      <c r="P48" s="3"/>
    </row>
    <row r="49" spans="4:16" x14ac:dyDescent="0.25">
      <c r="D49" s="2">
        <v>35137</v>
      </c>
      <c r="E49">
        <v>5.09</v>
      </c>
      <c r="F49">
        <v>5.18</v>
      </c>
      <c r="G49">
        <v>5.39</v>
      </c>
      <c r="H49">
        <v>5.73</v>
      </c>
      <c r="I49">
        <v>5.86</v>
      </c>
      <c r="J49">
        <v>6.03</v>
      </c>
      <c r="K49">
        <v>6.28</v>
      </c>
      <c r="L49">
        <v>6.35</v>
      </c>
      <c r="M49">
        <v>6.83</v>
      </c>
      <c r="N49">
        <v>6.68</v>
      </c>
      <c r="O49" s="3"/>
      <c r="P49" s="3"/>
    </row>
    <row r="50" spans="4:16" x14ac:dyDescent="0.25">
      <c r="D50" s="2">
        <v>35138</v>
      </c>
      <c r="E50">
        <v>5.1100000000000003</v>
      </c>
      <c r="F50">
        <v>5.16</v>
      </c>
      <c r="G50">
        <v>5.38</v>
      </c>
      <c r="H50">
        <v>5.7</v>
      </c>
      <c r="I50">
        <v>5.84</v>
      </c>
      <c r="J50">
        <v>6.03</v>
      </c>
      <c r="K50">
        <v>6.28</v>
      </c>
      <c r="L50">
        <v>6.36</v>
      </c>
      <c r="M50">
        <v>6.83</v>
      </c>
      <c r="N50">
        <v>6.68</v>
      </c>
      <c r="O50" s="3"/>
      <c r="P50" s="3"/>
    </row>
    <row r="51" spans="4:16" x14ac:dyDescent="0.25">
      <c r="D51" s="2">
        <v>35139</v>
      </c>
      <c r="E51">
        <v>5.14</v>
      </c>
      <c r="F51">
        <v>5.24</v>
      </c>
      <c r="G51">
        <v>5.51</v>
      </c>
      <c r="H51">
        <v>5.87</v>
      </c>
      <c r="I51">
        <v>6.01</v>
      </c>
      <c r="J51">
        <v>6.19</v>
      </c>
      <c r="K51">
        <v>6.4</v>
      </c>
      <c r="L51">
        <v>6.46</v>
      </c>
      <c r="M51">
        <v>6.9</v>
      </c>
      <c r="N51">
        <v>6.75</v>
      </c>
      <c r="O51" s="3"/>
      <c r="P51" s="3"/>
    </row>
    <row r="52" spans="4:16" x14ac:dyDescent="0.25">
      <c r="D52" s="2">
        <v>35142</v>
      </c>
      <c r="E52">
        <v>5.17</v>
      </c>
      <c r="F52">
        <v>5.27</v>
      </c>
      <c r="G52">
        <v>5.51</v>
      </c>
      <c r="H52">
        <v>5.89</v>
      </c>
      <c r="I52">
        <v>6.02</v>
      </c>
      <c r="J52">
        <v>6.16</v>
      </c>
      <c r="K52">
        <v>6.38</v>
      </c>
      <c r="L52">
        <v>6.43</v>
      </c>
      <c r="M52">
        <v>6.86</v>
      </c>
      <c r="N52">
        <v>6.71</v>
      </c>
      <c r="O52" s="3"/>
      <c r="P52" s="3"/>
    </row>
    <row r="53" spans="4:16" x14ac:dyDescent="0.25">
      <c r="D53" s="2">
        <v>35143</v>
      </c>
      <c r="E53">
        <v>5.19</v>
      </c>
      <c r="F53">
        <v>5.26</v>
      </c>
      <c r="G53">
        <v>5.47</v>
      </c>
      <c r="H53">
        <v>5.85</v>
      </c>
      <c r="I53">
        <v>5.99</v>
      </c>
      <c r="J53">
        <v>6.15</v>
      </c>
      <c r="K53">
        <v>6.35</v>
      </c>
      <c r="L53">
        <v>6.41</v>
      </c>
      <c r="M53">
        <v>6.86</v>
      </c>
      <c r="N53">
        <v>6.7</v>
      </c>
      <c r="O53" s="3"/>
      <c r="P53" s="3"/>
    </row>
    <row r="54" spans="4:16" x14ac:dyDescent="0.25">
      <c r="D54" s="2">
        <v>35144</v>
      </c>
      <c r="E54">
        <v>5.16</v>
      </c>
      <c r="F54">
        <v>5.22</v>
      </c>
      <c r="G54">
        <v>5.41</v>
      </c>
      <c r="H54">
        <v>5.76</v>
      </c>
      <c r="I54">
        <v>5.86</v>
      </c>
      <c r="J54">
        <v>6.05</v>
      </c>
      <c r="K54">
        <v>6.26</v>
      </c>
      <c r="L54">
        <v>6.34</v>
      </c>
      <c r="M54">
        <v>6.81</v>
      </c>
      <c r="N54">
        <v>6.65</v>
      </c>
      <c r="O54" s="3"/>
      <c r="P54" s="3"/>
    </row>
    <row r="55" spans="4:16" x14ac:dyDescent="0.25">
      <c r="D55" s="2">
        <v>35145</v>
      </c>
      <c r="E55">
        <v>5.07</v>
      </c>
      <c r="F55">
        <v>5.21</v>
      </c>
      <c r="G55">
        <v>5.4</v>
      </c>
      <c r="H55">
        <v>5.72</v>
      </c>
      <c r="I55">
        <v>5.82</v>
      </c>
      <c r="J55">
        <v>6.01</v>
      </c>
      <c r="K55">
        <v>6.23</v>
      </c>
      <c r="L55">
        <v>6.28</v>
      </c>
      <c r="M55">
        <v>6.78</v>
      </c>
      <c r="N55">
        <v>6.62</v>
      </c>
      <c r="O55" s="3"/>
      <c r="P55" s="3"/>
    </row>
    <row r="56" spans="4:16" x14ac:dyDescent="0.25">
      <c r="D56" s="2">
        <v>35146</v>
      </c>
      <c r="E56">
        <v>5.0999999999999996</v>
      </c>
      <c r="F56">
        <v>5.22</v>
      </c>
      <c r="G56">
        <v>5.41</v>
      </c>
      <c r="H56">
        <v>5.74</v>
      </c>
      <c r="I56">
        <v>5.85</v>
      </c>
      <c r="J56">
        <v>6.05</v>
      </c>
      <c r="K56">
        <v>6.26</v>
      </c>
      <c r="L56">
        <v>6.32</v>
      </c>
      <c r="M56">
        <v>6.8</v>
      </c>
      <c r="N56">
        <v>6.65</v>
      </c>
      <c r="O56" s="3"/>
      <c r="P56" s="3"/>
    </row>
    <row r="57" spans="4:16" x14ac:dyDescent="0.25">
      <c r="D57" s="2">
        <v>35149</v>
      </c>
      <c r="E57">
        <v>5.13</v>
      </c>
      <c r="F57">
        <v>5.16</v>
      </c>
      <c r="G57">
        <v>5.38</v>
      </c>
      <c r="H57">
        <v>5.69</v>
      </c>
      <c r="I57">
        <v>5.81</v>
      </c>
      <c r="J57">
        <v>6</v>
      </c>
      <c r="K57">
        <v>6.2</v>
      </c>
      <c r="L57">
        <v>6.26</v>
      </c>
      <c r="M57">
        <v>6.74</v>
      </c>
      <c r="N57">
        <v>6.58</v>
      </c>
      <c r="O57" s="3"/>
      <c r="P57" s="3"/>
    </row>
    <row r="58" spans="4:16" x14ac:dyDescent="0.25">
      <c r="D58" s="2">
        <v>35150</v>
      </c>
      <c r="E58">
        <v>5.13</v>
      </c>
      <c r="F58">
        <v>5.18</v>
      </c>
      <c r="G58">
        <v>5.38</v>
      </c>
      <c r="H58">
        <v>5.72</v>
      </c>
      <c r="I58">
        <v>5.82</v>
      </c>
      <c r="J58">
        <v>6</v>
      </c>
      <c r="K58">
        <v>6.19</v>
      </c>
      <c r="L58">
        <v>6.25</v>
      </c>
      <c r="M58">
        <v>6.73</v>
      </c>
      <c r="N58">
        <v>6.59</v>
      </c>
      <c r="O58" s="3"/>
      <c r="P58" s="3"/>
    </row>
    <row r="59" spans="4:16" x14ac:dyDescent="0.25">
      <c r="D59" s="2">
        <v>35151</v>
      </c>
      <c r="E59">
        <v>5.17</v>
      </c>
      <c r="F59">
        <v>5.19</v>
      </c>
      <c r="G59">
        <v>5.45</v>
      </c>
      <c r="H59">
        <v>5.81</v>
      </c>
      <c r="I59">
        <v>5.93</v>
      </c>
      <c r="J59">
        <v>6.12</v>
      </c>
      <c r="K59">
        <v>6.3</v>
      </c>
      <c r="L59">
        <v>6.34</v>
      </c>
      <c r="M59">
        <v>6.84</v>
      </c>
      <c r="N59">
        <v>6.68</v>
      </c>
      <c r="O59" s="3"/>
      <c r="P59" s="3"/>
    </row>
    <row r="60" spans="4:16" x14ac:dyDescent="0.25">
      <c r="D60" s="2">
        <v>35152</v>
      </c>
      <c r="E60">
        <v>5.19</v>
      </c>
      <c r="F60">
        <v>5.23</v>
      </c>
      <c r="G60">
        <v>5.48</v>
      </c>
      <c r="H60">
        <v>5.88</v>
      </c>
      <c r="I60">
        <v>5.99</v>
      </c>
      <c r="J60">
        <v>6.2</v>
      </c>
      <c r="K60">
        <v>6.38</v>
      </c>
      <c r="L60">
        <v>6.41</v>
      </c>
      <c r="M60">
        <v>6.9</v>
      </c>
      <c r="N60">
        <v>6.73</v>
      </c>
      <c r="O60" s="3"/>
      <c r="P60" s="3"/>
    </row>
    <row r="61" spans="4:16" x14ac:dyDescent="0.25">
      <c r="D61" s="2">
        <v>35153</v>
      </c>
      <c r="E61">
        <v>5.13</v>
      </c>
      <c r="F61">
        <v>5.2</v>
      </c>
      <c r="G61">
        <v>5.41</v>
      </c>
      <c r="H61">
        <v>5.79</v>
      </c>
      <c r="I61">
        <v>5.91</v>
      </c>
      <c r="J61">
        <v>6.1</v>
      </c>
      <c r="K61">
        <v>6.3</v>
      </c>
      <c r="L61">
        <v>6.34</v>
      </c>
      <c r="M61">
        <v>6.83</v>
      </c>
      <c r="N61">
        <v>6.67</v>
      </c>
      <c r="O61" s="3"/>
      <c r="P61" s="3"/>
    </row>
    <row r="62" spans="4:16" x14ac:dyDescent="0.25">
      <c r="D62" s="2">
        <v>35156</v>
      </c>
      <c r="E62">
        <v>5.2</v>
      </c>
      <c r="F62">
        <v>5.26</v>
      </c>
      <c r="G62">
        <v>5.41</v>
      </c>
      <c r="H62">
        <v>5.79</v>
      </c>
      <c r="I62">
        <v>5.91</v>
      </c>
      <c r="J62">
        <v>6.09</v>
      </c>
      <c r="K62">
        <v>6.28</v>
      </c>
      <c r="L62">
        <v>6.31</v>
      </c>
      <c r="M62">
        <v>6.82</v>
      </c>
      <c r="N62">
        <v>6.66</v>
      </c>
      <c r="O62" s="3"/>
      <c r="P62" s="3"/>
    </row>
    <row r="63" spans="4:16" x14ac:dyDescent="0.25">
      <c r="D63" s="2">
        <v>35157</v>
      </c>
      <c r="E63">
        <v>5.16</v>
      </c>
      <c r="F63">
        <v>5.25</v>
      </c>
      <c r="G63">
        <v>5.44</v>
      </c>
      <c r="H63">
        <v>5.74</v>
      </c>
      <c r="I63">
        <v>5.86</v>
      </c>
      <c r="J63">
        <v>6.02</v>
      </c>
      <c r="K63">
        <v>6.23</v>
      </c>
      <c r="L63">
        <v>6.25</v>
      </c>
      <c r="M63">
        <v>6.77</v>
      </c>
      <c r="N63">
        <v>6.62</v>
      </c>
      <c r="O63" s="3"/>
      <c r="P63" s="3"/>
    </row>
    <row r="64" spans="4:16" x14ac:dyDescent="0.25">
      <c r="D64" s="2">
        <v>35158</v>
      </c>
      <c r="E64">
        <v>5.15</v>
      </c>
      <c r="F64">
        <v>5.25</v>
      </c>
      <c r="G64">
        <v>5.46</v>
      </c>
      <c r="H64">
        <v>5.77</v>
      </c>
      <c r="I64">
        <v>5.89</v>
      </c>
      <c r="J64">
        <v>6.06</v>
      </c>
      <c r="K64">
        <v>6.26</v>
      </c>
      <c r="L64">
        <v>6.27</v>
      </c>
      <c r="M64">
        <v>6.8</v>
      </c>
      <c r="N64">
        <v>6.63</v>
      </c>
      <c r="O64" s="3"/>
      <c r="P64" s="3"/>
    </row>
    <row r="65" spans="4:16" x14ac:dyDescent="0.25">
      <c r="D65" s="2">
        <v>35159</v>
      </c>
      <c r="E65">
        <v>5.1100000000000003</v>
      </c>
      <c r="F65">
        <v>5.25</v>
      </c>
      <c r="G65">
        <v>5.48</v>
      </c>
      <c r="H65">
        <v>5.83</v>
      </c>
      <c r="I65">
        <v>5.95</v>
      </c>
      <c r="J65">
        <v>6.12</v>
      </c>
      <c r="K65">
        <v>6.32</v>
      </c>
      <c r="L65">
        <v>6.33</v>
      </c>
      <c r="M65">
        <v>6.83</v>
      </c>
      <c r="N65">
        <v>6.66</v>
      </c>
      <c r="O65" s="3"/>
      <c r="P65" s="3"/>
    </row>
    <row r="66" spans="4:16" x14ac:dyDescent="0.25">
      <c r="D66" s="2">
        <v>35160</v>
      </c>
      <c r="E66">
        <v>5.15</v>
      </c>
      <c r="F66">
        <v>5.36</v>
      </c>
      <c r="G66">
        <v>5.63</v>
      </c>
      <c r="H66">
        <v>6.09</v>
      </c>
      <c r="I66">
        <v>6.22</v>
      </c>
      <c r="J66">
        <v>6.4</v>
      </c>
      <c r="K66">
        <v>6.57</v>
      </c>
      <c r="L66">
        <v>6.57</v>
      </c>
      <c r="M66">
        <v>7.01</v>
      </c>
      <c r="N66">
        <v>6.83</v>
      </c>
      <c r="O66" s="3"/>
      <c r="P66" s="3"/>
    </row>
    <row r="67" spans="4:16" x14ac:dyDescent="0.25">
      <c r="D67" s="2">
        <v>35163</v>
      </c>
      <c r="E67">
        <v>5.16</v>
      </c>
      <c r="F67">
        <v>5.39</v>
      </c>
      <c r="G67">
        <v>5.67</v>
      </c>
      <c r="H67">
        <v>6.11</v>
      </c>
      <c r="I67">
        <v>6.27</v>
      </c>
      <c r="J67">
        <v>6.46</v>
      </c>
      <c r="K67">
        <v>6.62</v>
      </c>
      <c r="L67">
        <v>6.63</v>
      </c>
      <c r="M67">
        <v>7.07</v>
      </c>
      <c r="N67">
        <v>6.88</v>
      </c>
      <c r="O67" s="3"/>
      <c r="P67" s="3"/>
    </row>
    <row r="68" spans="4:16" x14ac:dyDescent="0.25">
      <c r="D68" s="2">
        <v>35164</v>
      </c>
      <c r="E68">
        <v>5.0999999999999996</v>
      </c>
      <c r="F68">
        <v>5.32</v>
      </c>
      <c r="G68">
        <v>5.6</v>
      </c>
      <c r="H68">
        <v>6.06</v>
      </c>
      <c r="I68">
        <v>6.21</v>
      </c>
      <c r="J68">
        <v>6.37</v>
      </c>
      <c r="K68">
        <v>6.56</v>
      </c>
      <c r="L68">
        <v>6.56</v>
      </c>
      <c r="M68">
        <v>7.04</v>
      </c>
      <c r="N68">
        <v>6.84</v>
      </c>
      <c r="O68" s="3"/>
      <c r="P68" s="3"/>
    </row>
    <row r="69" spans="4:16" x14ac:dyDescent="0.25">
      <c r="D69" s="2">
        <v>35165</v>
      </c>
      <c r="E69">
        <v>5.08</v>
      </c>
      <c r="F69">
        <v>5.31</v>
      </c>
      <c r="G69">
        <v>5.64</v>
      </c>
      <c r="H69">
        <v>6.1</v>
      </c>
      <c r="I69">
        <v>6.24</v>
      </c>
      <c r="J69">
        <v>6.44</v>
      </c>
      <c r="K69">
        <v>6.63</v>
      </c>
      <c r="L69">
        <v>6.63</v>
      </c>
      <c r="M69">
        <v>7.1</v>
      </c>
      <c r="N69">
        <v>6.91</v>
      </c>
      <c r="O69" s="3"/>
      <c r="P69" s="3"/>
    </row>
    <row r="70" spans="4:16" x14ac:dyDescent="0.25">
      <c r="D70" s="2">
        <v>35166</v>
      </c>
      <c r="E70">
        <v>5.08</v>
      </c>
      <c r="F70">
        <v>5.32</v>
      </c>
      <c r="G70">
        <v>5.65</v>
      </c>
      <c r="H70">
        <v>6.12</v>
      </c>
      <c r="I70">
        <v>6.33</v>
      </c>
      <c r="J70">
        <v>6.5</v>
      </c>
      <c r="K70">
        <v>6.68</v>
      </c>
      <c r="L70">
        <v>6.68</v>
      </c>
      <c r="M70">
        <v>7.15</v>
      </c>
      <c r="N70">
        <v>6.95</v>
      </c>
      <c r="O70" s="3"/>
      <c r="P70" s="3"/>
    </row>
    <row r="71" spans="4:16" x14ac:dyDescent="0.25">
      <c r="D71" s="2">
        <v>35167</v>
      </c>
      <c r="E71">
        <v>5.07</v>
      </c>
      <c r="F71">
        <v>5.28</v>
      </c>
      <c r="G71">
        <v>5.53</v>
      </c>
      <c r="H71">
        <v>5.96</v>
      </c>
      <c r="I71">
        <v>6.12</v>
      </c>
      <c r="J71">
        <v>6.31</v>
      </c>
      <c r="K71">
        <v>6.49</v>
      </c>
      <c r="L71">
        <v>6.52</v>
      </c>
      <c r="M71">
        <v>7</v>
      </c>
      <c r="N71">
        <v>6.81</v>
      </c>
      <c r="O71" s="3"/>
      <c r="P71" s="3"/>
    </row>
    <row r="72" spans="4:16" x14ac:dyDescent="0.25">
      <c r="D72" s="2">
        <v>35170</v>
      </c>
      <c r="E72">
        <v>4.97</v>
      </c>
      <c r="F72">
        <v>5.21</v>
      </c>
      <c r="G72">
        <v>5.47</v>
      </c>
      <c r="H72">
        <v>5.93</v>
      </c>
      <c r="I72">
        <v>6.07</v>
      </c>
      <c r="J72">
        <v>6.27</v>
      </c>
      <c r="K72">
        <v>6.46</v>
      </c>
      <c r="L72">
        <v>6.47</v>
      </c>
      <c r="M72">
        <v>6.98</v>
      </c>
      <c r="N72">
        <v>6.79</v>
      </c>
      <c r="O72" s="3"/>
      <c r="P72" s="3"/>
    </row>
    <row r="73" spans="4:16" x14ac:dyDescent="0.25">
      <c r="D73" s="2">
        <v>35171</v>
      </c>
      <c r="E73">
        <v>4.95</v>
      </c>
      <c r="F73">
        <v>5.21</v>
      </c>
      <c r="G73">
        <v>5.48</v>
      </c>
      <c r="H73">
        <v>5.91</v>
      </c>
      <c r="I73">
        <v>6.06</v>
      </c>
      <c r="J73">
        <v>6.28</v>
      </c>
      <c r="K73">
        <v>6.46</v>
      </c>
      <c r="L73">
        <v>6.48</v>
      </c>
      <c r="M73">
        <v>6.95</v>
      </c>
      <c r="N73">
        <v>6.78</v>
      </c>
      <c r="O73" s="3"/>
      <c r="P73" s="3"/>
    </row>
    <row r="74" spans="4:16" x14ac:dyDescent="0.25">
      <c r="D74" s="2">
        <v>35172</v>
      </c>
      <c r="E74">
        <v>4.96</v>
      </c>
      <c r="F74">
        <v>5.24</v>
      </c>
      <c r="G74">
        <v>5.53</v>
      </c>
      <c r="H74">
        <v>5.96</v>
      </c>
      <c r="I74">
        <v>6.12</v>
      </c>
      <c r="J74">
        <v>6.33</v>
      </c>
      <c r="K74">
        <v>6.49</v>
      </c>
      <c r="L74">
        <v>6.52</v>
      </c>
      <c r="M74">
        <v>6.99</v>
      </c>
      <c r="N74">
        <v>6.81</v>
      </c>
      <c r="O74" s="3"/>
      <c r="P74" s="3"/>
    </row>
    <row r="75" spans="4:16" x14ac:dyDescent="0.25">
      <c r="D75" s="2">
        <v>35173</v>
      </c>
      <c r="E75">
        <v>4.9800000000000004</v>
      </c>
      <c r="F75">
        <v>5.26</v>
      </c>
      <c r="G75">
        <v>5.56</v>
      </c>
      <c r="H75">
        <v>6.02</v>
      </c>
      <c r="I75">
        <v>6.18</v>
      </c>
      <c r="J75">
        <v>6.39</v>
      </c>
      <c r="K75">
        <v>6.56</v>
      </c>
      <c r="L75">
        <v>6.58</v>
      </c>
      <c r="M75">
        <v>7.02</v>
      </c>
      <c r="N75">
        <v>6.84</v>
      </c>
      <c r="O75" s="3"/>
      <c r="P75" s="3"/>
    </row>
    <row r="76" spans="4:16" x14ac:dyDescent="0.25">
      <c r="D76" s="2">
        <v>35174</v>
      </c>
      <c r="E76">
        <v>5.01</v>
      </c>
      <c r="F76">
        <v>5.24</v>
      </c>
      <c r="G76">
        <v>5.5</v>
      </c>
      <c r="H76">
        <v>5.95</v>
      </c>
      <c r="I76">
        <v>6.1</v>
      </c>
      <c r="J76">
        <v>6.32</v>
      </c>
      <c r="K76">
        <v>6.48</v>
      </c>
      <c r="L76">
        <v>6.53</v>
      </c>
      <c r="M76">
        <v>7</v>
      </c>
      <c r="N76">
        <v>6.8</v>
      </c>
      <c r="O76" s="3"/>
      <c r="P76" s="3"/>
    </row>
    <row r="77" spans="4:16" x14ac:dyDescent="0.25">
      <c r="D77" s="2">
        <v>35177</v>
      </c>
      <c r="E77">
        <v>5.09</v>
      </c>
      <c r="F77">
        <v>5.22</v>
      </c>
      <c r="G77">
        <v>5.48</v>
      </c>
      <c r="H77">
        <v>5.92</v>
      </c>
      <c r="I77">
        <v>6.06</v>
      </c>
      <c r="J77">
        <v>6.28</v>
      </c>
      <c r="K77">
        <v>6.44</v>
      </c>
      <c r="L77">
        <v>6.48</v>
      </c>
      <c r="M77">
        <v>6.95</v>
      </c>
      <c r="N77">
        <v>6.75</v>
      </c>
      <c r="O77" s="3"/>
      <c r="P77" s="3"/>
    </row>
    <row r="78" spans="4:16" x14ac:dyDescent="0.25">
      <c r="D78" s="2">
        <v>35178</v>
      </c>
      <c r="E78">
        <v>5.0999999999999996</v>
      </c>
      <c r="F78">
        <v>5.23</v>
      </c>
      <c r="G78">
        <v>5.48</v>
      </c>
      <c r="H78">
        <v>5.93</v>
      </c>
      <c r="I78">
        <v>6.1</v>
      </c>
      <c r="J78">
        <v>6.31</v>
      </c>
      <c r="K78">
        <v>6.47</v>
      </c>
      <c r="L78">
        <v>6.52</v>
      </c>
      <c r="M78">
        <v>6.97</v>
      </c>
      <c r="N78">
        <v>6.78</v>
      </c>
      <c r="O78" s="3"/>
      <c r="P78" s="3"/>
    </row>
    <row r="79" spans="4:16" x14ac:dyDescent="0.25">
      <c r="D79" s="2">
        <v>35179</v>
      </c>
      <c r="E79">
        <v>5.13</v>
      </c>
      <c r="F79">
        <v>5.24</v>
      </c>
      <c r="G79">
        <v>5.51</v>
      </c>
      <c r="H79">
        <v>5.95</v>
      </c>
      <c r="I79">
        <v>6.13</v>
      </c>
      <c r="J79">
        <v>6.34</v>
      </c>
      <c r="K79">
        <v>6.51</v>
      </c>
      <c r="L79">
        <v>6.57</v>
      </c>
      <c r="M79">
        <v>7.01</v>
      </c>
      <c r="N79">
        <v>6.81</v>
      </c>
      <c r="O79" s="3"/>
      <c r="P79" s="3"/>
    </row>
    <row r="80" spans="4:16" x14ac:dyDescent="0.25">
      <c r="D80" s="2">
        <v>35180</v>
      </c>
      <c r="E80">
        <v>5.09</v>
      </c>
      <c r="F80">
        <v>5.24</v>
      </c>
      <c r="G80">
        <v>5.57</v>
      </c>
      <c r="H80">
        <v>5.99</v>
      </c>
      <c r="I80">
        <v>6.15</v>
      </c>
      <c r="J80">
        <v>6.31</v>
      </c>
      <c r="K80">
        <v>6.49</v>
      </c>
      <c r="L80">
        <v>6.56</v>
      </c>
      <c r="M80">
        <v>7.01</v>
      </c>
      <c r="N80">
        <v>6.81</v>
      </c>
      <c r="O80" s="3"/>
      <c r="P80" s="3"/>
    </row>
    <row r="81" spans="4:16" x14ac:dyDescent="0.25">
      <c r="D81" s="2">
        <v>35181</v>
      </c>
      <c r="E81">
        <v>5.1100000000000003</v>
      </c>
      <c r="F81">
        <v>5.23</v>
      </c>
      <c r="G81">
        <v>5.55</v>
      </c>
      <c r="H81">
        <v>5.92</v>
      </c>
      <c r="I81">
        <v>6.08</v>
      </c>
      <c r="J81">
        <v>6.29</v>
      </c>
      <c r="K81">
        <v>6.47</v>
      </c>
      <c r="L81">
        <v>6.54</v>
      </c>
      <c r="M81">
        <v>6.96</v>
      </c>
      <c r="N81">
        <v>6.79</v>
      </c>
      <c r="O81" s="3"/>
      <c r="P81" s="3"/>
    </row>
    <row r="82" spans="4:16" x14ac:dyDescent="0.25">
      <c r="D82" s="2">
        <v>35184</v>
      </c>
      <c r="E82">
        <v>5.14</v>
      </c>
      <c r="F82">
        <v>5.28</v>
      </c>
      <c r="G82">
        <v>5.57</v>
      </c>
      <c r="H82">
        <v>5.98</v>
      </c>
      <c r="I82">
        <v>6.13</v>
      </c>
      <c r="J82">
        <v>6.33</v>
      </c>
      <c r="K82">
        <v>6.51</v>
      </c>
      <c r="L82">
        <v>6.59</v>
      </c>
      <c r="M82">
        <v>7</v>
      </c>
      <c r="N82">
        <v>6.83</v>
      </c>
      <c r="O82" s="3"/>
      <c r="P82" s="3"/>
    </row>
    <row r="83" spans="4:16" x14ac:dyDescent="0.25">
      <c r="D83" s="2">
        <v>35185</v>
      </c>
      <c r="E83">
        <v>5.14</v>
      </c>
      <c r="F83">
        <v>5.3</v>
      </c>
      <c r="G83">
        <v>5.62</v>
      </c>
      <c r="H83">
        <v>6.03</v>
      </c>
      <c r="I83">
        <v>6.19</v>
      </c>
      <c r="J83">
        <v>6.4</v>
      </c>
      <c r="K83">
        <v>6.58</v>
      </c>
      <c r="L83">
        <v>6.66</v>
      </c>
      <c r="M83">
        <v>7.06</v>
      </c>
      <c r="N83">
        <v>6.89</v>
      </c>
      <c r="O83" s="3"/>
      <c r="P83" s="3"/>
    </row>
    <row r="84" spans="4:16" x14ac:dyDescent="0.25">
      <c r="D84" s="2">
        <v>35186</v>
      </c>
      <c r="E84">
        <v>5.1100000000000003</v>
      </c>
      <c r="F84">
        <v>5.29</v>
      </c>
      <c r="G84">
        <v>5.6</v>
      </c>
      <c r="H84">
        <v>6.03</v>
      </c>
      <c r="I84">
        <v>6.19</v>
      </c>
      <c r="J84">
        <v>6.39</v>
      </c>
      <c r="K84">
        <v>6.58</v>
      </c>
      <c r="L84">
        <v>6.68</v>
      </c>
      <c r="M84">
        <v>7.08</v>
      </c>
      <c r="N84">
        <v>6.91</v>
      </c>
      <c r="O84" s="3"/>
      <c r="P84" s="3"/>
    </row>
    <row r="85" spans="4:16" x14ac:dyDescent="0.25">
      <c r="D85" s="2">
        <v>35187</v>
      </c>
      <c r="E85">
        <v>5.13</v>
      </c>
      <c r="F85">
        <v>5.34</v>
      </c>
      <c r="G85">
        <v>5.69</v>
      </c>
      <c r="H85">
        <v>6.16</v>
      </c>
      <c r="I85">
        <v>6.34</v>
      </c>
      <c r="J85">
        <v>6.56</v>
      </c>
      <c r="K85">
        <v>6.75</v>
      </c>
      <c r="L85">
        <v>6.85</v>
      </c>
      <c r="M85">
        <v>7.21</v>
      </c>
      <c r="N85">
        <v>7.05</v>
      </c>
      <c r="O85" s="3"/>
      <c r="P85" s="3"/>
    </row>
    <row r="86" spans="4:16" x14ac:dyDescent="0.25">
      <c r="D86" s="2">
        <v>35188</v>
      </c>
      <c r="E86">
        <v>5.14</v>
      </c>
      <c r="F86">
        <v>5.34</v>
      </c>
      <c r="G86">
        <v>5.69</v>
      </c>
      <c r="H86">
        <v>6.2</v>
      </c>
      <c r="I86">
        <v>6.37</v>
      </c>
      <c r="J86">
        <v>6.61</v>
      </c>
      <c r="K86">
        <v>6.81</v>
      </c>
      <c r="L86">
        <v>6.9</v>
      </c>
      <c r="M86">
        <v>7.29</v>
      </c>
      <c r="N86">
        <v>7.12</v>
      </c>
      <c r="O86" s="3"/>
      <c r="P86" s="3"/>
    </row>
    <row r="87" spans="4:16" x14ac:dyDescent="0.25">
      <c r="D87" s="2">
        <v>35191</v>
      </c>
      <c r="E87">
        <v>5.14</v>
      </c>
      <c r="F87">
        <v>5.35</v>
      </c>
      <c r="G87">
        <v>5.66</v>
      </c>
      <c r="H87">
        <v>6.15</v>
      </c>
      <c r="I87">
        <v>6.34</v>
      </c>
      <c r="J87">
        <v>6.57</v>
      </c>
      <c r="K87">
        <v>6.77</v>
      </c>
      <c r="L87">
        <v>6.86</v>
      </c>
      <c r="M87">
        <v>7.25</v>
      </c>
      <c r="N87">
        <v>7.07</v>
      </c>
      <c r="O87" s="3"/>
      <c r="P87" s="3"/>
    </row>
    <row r="88" spans="4:16" x14ac:dyDescent="0.25">
      <c r="D88" s="2">
        <v>35192</v>
      </c>
      <c r="E88">
        <v>5.14</v>
      </c>
      <c r="F88">
        <v>5.36</v>
      </c>
      <c r="G88">
        <v>5.71</v>
      </c>
      <c r="H88">
        <v>6.2</v>
      </c>
      <c r="I88">
        <v>6.38</v>
      </c>
      <c r="J88">
        <v>6.6</v>
      </c>
      <c r="K88">
        <v>6.8</v>
      </c>
      <c r="L88">
        <v>6.87</v>
      </c>
      <c r="M88">
        <v>7.27</v>
      </c>
      <c r="N88">
        <v>7.08</v>
      </c>
      <c r="O88" s="3"/>
      <c r="P88" s="3"/>
    </row>
    <row r="89" spans="4:16" x14ac:dyDescent="0.25">
      <c r="D89" s="2">
        <v>35193</v>
      </c>
      <c r="E89">
        <v>5.13</v>
      </c>
      <c r="F89">
        <v>5.31</v>
      </c>
      <c r="G89">
        <v>5.66</v>
      </c>
      <c r="H89">
        <v>6.15</v>
      </c>
      <c r="I89">
        <v>6.35</v>
      </c>
      <c r="J89">
        <v>6.56</v>
      </c>
      <c r="K89">
        <v>6.74</v>
      </c>
      <c r="L89">
        <v>6.78</v>
      </c>
      <c r="M89">
        <v>7.19</v>
      </c>
      <c r="N89">
        <v>7</v>
      </c>
      <c r="O89" s="3"/>
      <c r="P89" s="3"/>
    </row>
    <row r="90" spans="4:16" x14ac:dyDescent="0.25">
      <c r="D90" s="2">
        <v>35194</v>
      </c>
      <c r="E90">
        <v>5.13</v>
      </c>
      <c r="F90">
        <v>5.32</v>
      </c>
      <c r="G90">
        <v>5.68</v>
      </c>
      <c r="H90">
        <v>6.14</v>
      </c>
      <c r="I90">
        <v>6.35</v>
      </c>
      <c r="J90">
        <v>6.57</v>
      </c>
      <c r="K90">
        <v>6.76</v>
      </c>
      <c r="L90">
        <v>6.84</v>
      </c>
      <c r="M90">
        <v>7.21</v>
      </c>
      <c r="N90">
        <v>7.02</v>
      </c>
      <c r="O90" s="3"/>
      <c r="P90" s="3"/>
    </row>
    <row r="91" spans="4:16" x14ac:dyDescent="0.25">
      <c r="D91" s="2">
        <v>35195</v>
      </c>
      <c r="E91">
        <v>5.13</v>
      </c>
      <c r="F91">
        <v>5.31</v>
      </c>
      <c r="G91">
        <v>5.62</v>
      </c>
      <c r="H91">
        <v>6.04</v>
      </c>
      <c r="I91">
        <v>6.23</v>
      </c>
      <c r="J91">
        <v>6.45</v>
      </c>
      <c r="K91">
        <v>6.65</v>
      </c>
      <c r="L91">
        <v>6.75</v>
      </c>
      <c r="M91">
        <v>7.12</v>
      </c>
      <c r="N91">
        <v>6.93</v>
      </c>
      <c r="O91" s="3"/>
      <c r="P91" s="3"/>
    </row>
    <row r="92" spans="4:16" x14ac:dyDescent="0.25">
      <c r="D92" s="2">
        <v>35198</v>
      </c>
      <c r="E92">
        <v>5.16</v>
      </c>
      <c r="F92">
        <v>5.34</v>
      </c>
      <c r="G92">
        <v>5.62</v>
      </c>
      <c r="H92">
        <v>6.06</v>
      </c>
      <c r="I92">
        <v>6.25</v>
      </c>
      <c r="J92">
        <v>6.45</v>
      </c>
      <c r="K92">
        <v>6.64</v>
      </c>
      <c r="L92">
        <v>6.72</v>
      </c>
      <c r="M92">
        <v>7.09</v>
      </c>
      <c r="N92">
        <v>6.9</v>
      </c>
      <c r="O92" s="3"/>
      <c r="P92" s="3"/>
    </row>
    <row r="93" spans="4:16" x14ac:dyDescent="0.25">
      <c r="D93" s="2">
        <v>35199</v>
      </c>
      <c r="E93">
        <v>5.14</v>
      </c>
      <c r="F93">
        <v>5.31</v>
      </c>
      <c r="G93">
        <v>5.58</v>
      </c>
      <c r="H93">
        <v>6.01</v>
      </c>
      <c r="I93">
        <v>6.19</v>
      </c>
      <c r="J93">
        <v>6.4</v>
      </c>
      <c r="K93">
        <v>6.58</v>
      </c>
      <c r="L93">
        <v>6.66</v>
      </c>
      <c r="M93">
        <v>7.04</v>
      </c>
      <c r="N93">
        <v>6.85</v>
      </c>
      <c r="O93" s="3"/>
      <c r="P93" s="3"/>
    </row>
    <row r="94" spans="4:16" x14ac:dyDescent="0.25">
      <c r="D94" s="2">
        <v>35200</v>
      </c>
      <c r="E94">
        <v>5.13</v>
      </c>
      <c r="F94">
        <v>5.31</v>
      </c>
      <c r="G94">
        <v>5.58</v>
      </c>
      <c r="H94">
        <v>6.01</v>
      </c>
      <c r="I94">
        <v>6.18</v>
      </c>
      <c r="J94">
        <v>6.39</v>
      </c>
      <c r="K94">
        <v>6.56</v>
      </c>
      <c r="L94">
        <v>6.65</v>
      </c>
      <c r="M94">
        <v>7.03</v>
      </c>
      <c r="N94">
        <v>6.84</v>
      </c>
      <c r="O94" s="3"/>
      <c r="P94" s="3"/>
    </row>
    <row r="95" spans="4:16" x14ac:dyDescent="0.25">
      <c r="D95" s="2">
        <v>35201</v>
      </c>
      <c r="E95">
        <v>5.15</v>
      </c>
      <c r="F95">
        <v>5.33</v>
      </c>
      <c r="G95">
        <v>5.6</v>
      </c>
      <c r="H95">
        <v>6.08</v>
      </c>
      <c r="I95">
        <v>6.25</v>
      </c>
      <c r="J95">
        <v>6.45</v>
      </c>
      <c r="K95">
        <v>6.63</v>
      </c>
      <c r="L95">
        <v>6.7</v>
      </c>
      <c r="M95">
        <v>7.08</v>
      </c>
      <c r="N95">
        <v>6.9</v>
      </c>
      <c r="O95" s="3"/>
      <c r="P95" s="3"/>
    </row>
    <row r="96" spans="4:16" x14ac:dyDescent="0.25">
      <c r="D96" s="2">
        <v>35202</v>
      </c>
      <c r="E96">
        <v>5.15</v>
      </c>
      <c r="F96">
        <v>5.33</v>
      </c>
      <c r="G96">
        <v>5.58</v>
      </c>
      <c r="H96">
        <v>6.04</v>
      </c>
      <c r="I96">
        <v>6.2</v>
      </c>
      <c r="J96">
        <v>6.41</v>
      </c>
      <c r="K96">
        <v>6.58</v>
      </c>
      <c r="L96">
        <v>6.65</v>
      </c>
      <c r="M96">
        <v>7.03</v>
      </c>
      <c r="N96">
        <v>6.84</v>
      </c>
      <c r="O96" s="3"/>
      <c r="P96" s="3"/>
    </row>
    <row r="97" spans="4:16" x14ac:dyDescent="0.25">
      <c r="D97" s="2">
        <v>35205</v>
      </c>
      <c r="E97">
        <v>5.17</v>
      </c>
      <c r="F97">
        <v>5.32</v>
      </c>
      <c r="G97">
        <v>5.56</v>
      </c>
      <c r="H97">
        <v>6.02</v>
      </c>
      <c r="I97">
        <v>6.18</v>
      </c>
      <c r="J97">
        <v>6.38</v>
      </c>
      <c r="K97">
        <v>6.54</v>
      </c>
      <c r="L97">
        <v>6.62</v>
      </c>
      <c r="M97">
        <v>7.01</v>
      </c>
      <c r="N97">
        <v>6.82</v>
      </c>
      <c r="O97" s="3"/>
      <c r="P97" s="3"/>
    </row>
    <row r="98" spans="4:16" x14ac:dyDescent="0.25">
      <c r="D98" s="2">
        <v>35206</v>
      </c>
      <c r="E98">
        <v>5.18</v>
      </c>
      <c r="F98">
        <v>5.32</v>
      </c>
      <c r="G98">
        <v>5.57</v>
      </c>
      <c r="H98">
        <v>6.03</v>
      </c>
      <c r="I98">
        <v>6.19</v>
      </c>
      <c r="J98">
        <v>6.41</v>
      </c>
      <c r="K98">
        <v>6.58</v>
      </c>
      <c r="L98">
        <v>6.65</v>
      </c>
      <c r="M98">
        <v>7.04</v>
      </c>
      <c r="N98">
        <v>6.85</v>
      </c>
      <c r="O98" s="3"/>
      <c r="P98" s="3"/>
    </row>
    <row r="99" spans="4:16" x14ac:dyDescent="0.25">
      <c r="D99" s="2">
        <v>35207</v>
      </c>
      <c r="E99">
        <v>5.18</v>
      </c>
      <c r="F99">
        <v>5.32</v>
      </c>
      <c r="G99">
        <v>5.56</v>
      </c>
      <c r="H99">
        <v>6.03</v>
      </c>
      <c r="I99">
        <v>6.19</v>
      </c>
      <c r="J99">
        <v>6.38</v>
      </c>
      <c r="K99">
        <v>6.55</v>
      </c>
      <c r="L99">
        <v>6.63</v>
      </c>
      <c r="M99">
        <v>6.99</v>
      </c>
      <c r="N99">
        <v>6.81</v>
      </c>
      <c r="O99" s="3"/>
      <c r="P99" s="3"/>
    </row>
    <row r="100" spans="4:16" x14ac:dyDescent="0.25">
      <c r="D100" s="2">
        <v>35208</v>
      </c>
      <c r="E100">
        <v>5.18</v>
      </c>
      <c r="F100">
        <v>5.34</v>
      </c>
      <c r="G100">
        <v>5.63</v>
      </c>
      <c r="H100">
        <v>6.05</v>
      </c>
      <c r="I100">
        <v>6.23</v>
      </c>
      <c r="J100">
        <v>6.44</v>
      </c>
      <c r="K100">
        <v>6.6</v>
      </c>
      <c r="L100">
        <v>6.68</v>
      </c>
      <c r="M100">
        <v>7.05</v>
      </c>
      <c r="N100">
        <v>6.87</v>
      </c>
      <c r="O100" s="3"/>
      <c r="P100" s="3"/>
    </row>
    <row r="101" spans="4:16" x14ac:dyDescent="0.25">
      <c r="D101" s="2">
        <v>35209</v>
      </c>
      <c r="E101">
        <v>5.18</v>
      </c>
      <c r="F101">
        <v>5.33</v>
      </c>
      <c r="G101">
        <v>5.61</v>
      </c>
      <c r="H101">
        <v>6.03</v>
      </c>
      <c r="I101">
        <v>6.2</v>
      </c>
      <c r="J101">
        <v>6.42</v>
      </c>
      <c r="K101">
        <v>6.58</v>
      </c>
      <c r="L101">
        <v>6.65</v>
      </c>
      <c r="M101">
        <v>7.01</v>
      </c>
      <c r="N101">
        <v>6.84</v>
      </c>
      <c r="O101" s="3"/>
      <c r="P101" s="3"/>
    </row>
    <row r="102" spans="4:16" x14ac:dyDescent="0.25">
      <c r="D102" s="2">
        <v>35213</v>
      </c>
      <c r="E102">
        <v>5.17</v>
      </c>
      <c r="F102">
        <v>5.34</v>
      </c>
      <c r="G102">
        <v>5.63</v>
      </c>
      <c r="H102">
        <v>6.05</v>
      </c>
      <c r="I102">
        <v>6.23</v>
      </c>
      <c r="J102">
        <v>6.44</v>
      </c>
      <c r="K102">
        <v>6.58</v>
      </c>
      <c r="L102">
        <v>6.67</v>
      </c>
      <c r="M102">
        <v>7.02</v>
      </c>
      <c r="N102">
        <v>6.85</v>
      </c>
      <c r="O102" s="3"/>
      <c r="P102" s="3"/>
    </row>
    <row r="103" spans="4:16" x14ac:dyDescent="0.25">
      <c r="D103" s="2">
        <v>35214</v>
      </c>
      <c r="E103">
        <v>5.18</v>
      </c>
      <c r="F103">
        <v>5.36</v>
      </c>
      <c r="G103">
        <v>5.7</v>
      </c>
      <c r="H103">
        <v>6.16</v>
      </c>
      <c r="I103">
        <v>6.33</v>
      </c>
      <c r="J103">
        <v>6.56</v>
      </c>
      <c r="K103">
        <v>6.69</v>
      </c>
      <c r="L103">
        <v>6.77</v>
      </c>
      <c r="M103">
        <v>7.1</v>
      </c>
      <c r="N103">
        <v>6.94</v>
      </c>
      <c r="O103" s="3"/>
      <c r="P103" s="3"/>
    </row>
    <row r="104" spans="4:16" x14ac:dyDescent="0.25">
      <c r="D104" s="2">
        <v>35215</v>
      </c>
      <c r="E104">
        <v>5.18</v>
      </c>
      <c r="F104">
        <v>5.35</v>
      </c>
      <c r="G104">
        <v>5.71</v>
      </c>
      <c r="H104">
        <v>6.18</v>
      </c>
      <c r="I104">
        <v>6.36</v>
      </c>
      <c r="J104">
        <v>6.55</v>
      </c>
      <c r="K104">
        <v>6.7</v>
      </c>
      <c r="L104">
        <v>6.78</v>
      </c>
      <c r="M104">
        <v>7.08</v>
      </c>
      <c r="N104">
        <v>6.92</v>
      </c>
      <c r="O104" s="3"/>
      <c r="P104" s="3"/>
    </row>
    <row r="105" spans="4:16" x14ac:dyDescent="0.25">
      <c r="D105" s="2">
        <v>35216</v>
      </c>
      <c r="E105">
        <v>5.18</v>
      </c>
      <c r="F105">
        <v>5.36</v>
      </c>
      <c r="G105">
        <v>5.77</v>
      </c>
      <c r="H105">
        <v>6.27</v>
      </c>
      <c r="I105">
        <v>6.44</v>
      </c>
      <c r="J105">
        <v>6.64</v>
      </c>
      <c r="K105">
        <v>6.78</v>
      </c>
      <c r="L105">
        <v>6.85</v>
      </c>
      <c r="M105">
        <v>7.17</v>
      </c>
      <c r="N105">
        <v>7</v>
      </c>
      <c r="O105" s="3"/>
      <c r="P105" s="3"/>
    </row>
    <row r="106" spans="4:16" x14ac:dyDescent="0.25">
      <c r="D106" s="2">
        <v>35219</v>
      </c>
      <c r="E106">
        <v>5.23</v>
      </c>
      <c r="F106">
        <v>5.41</v>
      </c>
      <c r="G106">
        <v>5.78</v>
      </c>
      <c r="H106">
        <v>6.26</v>
      </c>
      <c r="I106">
        <v>6.43</v>
      </c>
      <c r="J106">
        <v>6.64</v>
      </c>
      <c r="K106">
        <v>6.8</v>
      </c>
      <c r="L106">
        <v>6.87</v>
      </c>
      <c r="M106">
        <v>7.19</v>
      </c>
      <c r="N106">
        <v>7.01</v>
      </c>
      <c r="O106" s="3"/>
      <c r="P106" s="3"/>
    </row>
    <row r="107" spans="4:16" x14ac:dyDescent="0.25">
      <c r="D107" s="2">
        <v>35220</v>
      </c>
      <c r="E107">
        <v>5.2</v>
      </c>
      <c r="F107">
        <v>5.42</v>
      </c>
      <c r="G107">
        <v>5.78</v>
      </c>
      <c r="H107">
        <v>6.24</v>
      </c>
      <c r="I107">
        <v>6.44</v>
      </c>
      <c r="J107">
        <v>6.62</v>
      </c>
      <c r="K107">
        <v>6.78</v>
      </c>
      <c r="L107">
        <v>6.86</v>
      </c>
      <c r="M107">
        <v>7.18</v>
      </c>
      <c r="N107">
        <v>7</v>
      </c>
      <c r="O107" s="3"/>
      <c r="P107" s="3"/>
    </row>
    <row r="108" spans="4:16" x14ac:dyDescent="0.25">
      <c r="D108" s="2">
        <v>35221</v>
      </c>
      <c r="E108">
        <v>5.22</v>
      </c>
      <c r="F108">
        <v>5.41</v>
      </c>
      <c r="G108">
        <v>5.76</v>
      </c>
      <c r="H108">
        <v>6.24</v>
      </c>
      <c r="I108">
        <v>6.43</v>
      </c>
      <c r="J108">
        <v>6.6</v>
      </c>
      <c r="K108">
        <v>6.75</v>
      </c>
      <c r="L108">
        <v>6.82</v>
      </c>
      <c r="M108">
        <v>7.14</v>
      </c>
      <c r="N108">
        <v>6.96</v>
      </c>
      <c r="O108" s="3"/>
      <c r="P108" s="3"/>
    </row>
    <row r="109" spans="4:16" x14ac:dyDescent="0.25">
      <c r="D109" s="2">
        <v>35222</v>
      </c>
      <c r="E109">
        <v>5.21</v>
      </c>
      <c r="F109">
        <v>5.4</v>
      </c>
      <c r="G109">
        <v>5.71</v>
      </c>
      <c r="H109">
        <v>6.16</v>
      </c>
      <c r="I109">
        <v>6.32</v>
      </c>
      <c r="J109">
        <v>6.52</v>
      </c>
      <c r="K109">
        <v>6.67</v>
      </c>
      <c r="L109">
        <v>6.76</v>
      </c>
      <c r="M109">
        <v>7.08</v>
      </c>
      <c r="N109">
        <v>6.91</v>
      </c>
      <c r="O109" s="3"/>
      <c r="P109" s="3"/>
    </row>
    <row r="110" spans="4:16" x14ac:dyDescent="0.25">
      <c r="D110" s="2">
        <v>35223</v>
      </c>
      <c r="E110">
        <v>5.26</v>
      </c>
      <c r="F110">
        <v>5.53</v>
      </c>
      <c r="G110">
        <v>5.86</v>
      </c>
      <c r="H110">
        <v>6.4</v>
      </c>
      <c r="I110">
        <v>6.56</v>
      </c>
      <c r="J110">
        <v>6.75</v>
      </c>
      <c r="K110">
        <v>6.87</v>
      </c>
      <c r="L110">
        <v>6.93</v>
      </c>
      <c r="M110">
        <v>7.22</v>
      </c>
      <c r="N110">
        <v>7.05</v>
      </c>
      <c r="O110" s="3"/>
      <c r="P110" s="3"/>
    </row>
    <row r="111" spans="4:16" x14ac:dyDescent="0.25">
      <c r="D111" s="2">
        <v>35226</v>
      </c>
      <c r="E111">
        <v>5.29</v>
      </c>
      <c r="F111">
        <v>5.56</v>
      </c>
      <c r="G111">
        <v>5.88</v>
      </c>
      <c r="H111">
        <v>6.4</v>
      </c>
      <c r="I111">
        <v>6.58</v>
      </c>
      <c r="J111">
        <v>6.77</v>
      </c>
      <c r="K111">
        <v>6.91</v>
      </c>
      <c r="L111">
        <v>6.97</v>
      </c>
      <c r="M111">
        <v>7.28</v>
      </c>
      <c r="N111">
        <v>7.1</v>
      </c>
      <c r="O111" s="3"/>
      <c r="P111" s="3"/>
    </row>
    <row r="112" spans="4:16" x14ac:dyDescent="0.25">
      <c r="D112" s="2">
        <v>35227</v>
      </c>
      <c r="E112">
        <v>5.27</v>
      </c>
      <c r="F112">
        <v>5.53</v>
      </c>
      <c r="G112">
        <v>5.87</v>
      </c>
      <c r="H112">
        <v>6.37</v>
      </c>
      <c r="I112">
        <v>6.56</v>
      </c>
      <c r="J112">
        <v>6.77</v>
      </c>
      <c r="K112">
        <v>6.94</v>
      </c>
      <c r="L112">
        <v>6.99</v>
      </c>
      <c r="M112">
        <v>7.31</v>
      </c>
      <c r="N112">
        <v>7.13</v>
      </c>
      <c r="O112" s="3"/>
      <c r="P112" s="3"/>
    </row>
    <row r="113" spans="4:16" x14ac:dyDescent="0.25">
      <c r="D113" s="2">
        <v>35228</v>
      </c>
      <c r="E113">
        <v>5.26</v>
      </c>
      <c r="F113">
        <v>5.53</v>
      </c>
      <c r="G113">
        <v>5.88</v>
      </c>
      <c r="H113">
        <v>6.39</v>
      </c>
      <c r="I113">
        <v>6.59</v>
      </c>
      <c r="J113">
        <v>6.81</v>
      </c>
      <c r="K113">
        <v>6.99</v>
      </c>
      <c r="L113">
        <v>7.03</v>
      </c>
      <c r="M113">
        <v>7.35</v>
      </c>
      <c r="N113">
        <v>7.18</v>
      </c>
      <c r="O113" s="3"/>
      <c r="P113" s="3"/>
    </row>
    <row r="114" spans="4:16" x14ac:dyDescent="0.25">
      <c r="D114" s="2">
        <v>35229</v>
      </c>
      <c r="E114">
        <v>5.24</v>
      </c>
      <c r="F114">
        <v>5.51</v>
      </c>
      <c r="G114">
        <v>5.85</v>
      </c>
      <c r="H114">
        <v>6.36</v>
      </c>
      <c r="I114">
        <v>6.56</v>
      </c>
      <c r="J114">
        <v>6.8</v>
      </c>
      <c r="K114">
        <v>6.95</v>
      </c>
      <c r="L114">
        <v>7.01</v>
      </c>
      <c r="M114">
        <v>7.32</v>
      </c>
      <c r="N114">
        <v>7.15</v>
      </c>
      <c r="O114" s="3"/>
      <c r="P114" s="3"/>
    </row>
    <row r="115" spans="4:16" x14ac:dyDescent="0.25">
      <c r="D115" s="2">
        <v>35230</v>
      </c>
      <c r="E115">
        <v>5.21</v>
      </c>
      <c r="F115">
        <v>5.48</v>
      </c>
      <c r="G115">
        <v>5.8</v>
      </c>
      <c r="H115">
        <v>6.29</v>
      </c>
      <c r="I115">
        <v>6.49</v>
      </c>
      <c r="J115">
        <v>6.72</v>
      </c>
      <c r="K115">
        <v>6.87</v>
      </c>
      <c r="L115">
        <v>6.95</v>
      </c>
      <c r="M115">
        <v>7.26</v>
      </c>
      <c r="N115">
        <v>7.1</v>
      </c>
      <c r="O115" s="3"/>
      <c r="P115" s="3"/>
    </row>
    <row r="116" spans="4:16" x14ac:dyDescent="0.25">
      <c r="D116" s="2">
        <v>35233</v>
      </c>
      <c r="E116">
        <v>5.19</v>
      </c>
      <c r="F116">
        <v>5.46</v>
      </c>
      <c r="G116">
        <v>5.78</v>
      </c>
      <c r="H116">
        <v>6.27</v>
      </c>
      <c r="I116">
        <v>6.47</v>
      </c>
      <c r="J116">
        <v>6.68</v>
      </c>
      <c r="K116">
        <v>6.82</v>
      </c>
      <c r="L116">
        <v>6.9</v>
      </c>
      <c r="M116">
        <v>7.22</v>
      </c>
      <c r="N116">
        <v>7.06</v>
      </c>
      <c r="O116" s="3"/>
      <c r="P116" s="3"/>
    </row>
    <row r="117" spans="4:16" x14ac:dyDescent="0.25">
      <c r="D117" s="2">
        <v>35234</v>
      </c>
      <c r="E117">
        <v>5.21</v>
      </c>
      <c r="F117">
        <v>5.46</v>
      </c>
      <c r="G117">
        <v>5.78</v>
      </c>
      <c r="H117">
        <v>6.28</v>
      </c>
      <c r="I117">
        <v>6.48</v>
      </c>
      <c r="J117">
        <v>6.71</v>
      </c>
      <c r="K117">
        <v>6.87</v>
      </c>
      <c r="L117">
        <v>6.93</v>
      </c>
      <c r="M117">
        <v>7.25</v>
      </c>
      <c r="N117">
        <v>7.09</v>
      </c>
      <c r="O117" s="3"/>
      <c r="P117" s="3"/>
    </row>
    <row r="118" spans="4:16" x14ac:dyDescent="0.25">
      <c r="D118" s="2">
        <v>35235</v>
      </c>
      <c r="E118">
        <v>5.23</v>
      </c>
      <c r="F118">
        <v>5.46</v>
      </c>
      <c r="G118">
        <v>5.81</v>
      </c>
      <c r="H118">
        <v>6.31</v>
      </c>
      <c r="I118">
        <v>6.5</v>
      </c>
      <c r="J118">
        <v>6.74</v>
      </c>
      <c r="K118">
        <v>6.89</v>
      </c>
      <c r="L118">
        <v>6.96</v>
      </c>
      <c r="M118">
        <v>7.27</v>
      </c>
      <c r="N118">
        <v>7.12</v>
      </c>
      <c r="O118" s="3"/>
      <c r="P118" s="3"/>
    </row>
    <row r="119" spans="4:16" x14ac:dyDescent="0.25">
      <c r="D119" s="2">
        <v>35236</v>
      </c>
      <c r="E119">
        <v>5.26</v>
      </c>
      <c r="F119">
        <v>5.48</v>
      </c>
      <c r="G119">
        <v>5.87</v>
      </c>
      <c r="H119">
        <v>6.38</v>
      </c>
      <c r="I119">
        <v>6.55</v>
      </c>
      <c r="J119">
        <v>6.77</v>
      </c>
      <c r="K119">
        <v>6.89</v>
      </c>
      <c r="L119">
        <v>6.98</v>
      </c>
      <c r="M119">
        <v>7.27</v>
      </c>
      <c r="N119">
        <v>7.12</v>
      </c>
      <c r="O119" s="3"/>
      <c r="P119" s="3"/>
    </row>
    <row r="120" spans="4:16" x14ac:dyDescent="0.25">
      <c r="D120" s="2">
        <v>35237</v>
      </c>
      <c r="E120">
        <v>5.26</v>
      </c>
      <c r="F120">
        <v>5.48</v>
      </c>
      <c r="G120">
        <v>5.84</v>
      </c>
      <c r="H120">
        <v>6.35</v>
      </c>
      <c r="I120">
        <v>6.52</v>
      </c>
      <c r="J120">
        <v>6.74</v>
      </c>
      <c r="K120">
        <v>6.87</v>
      </c>
      <c r="L120">
        <v>6.96</v>
      </c>
      <c r="M120">
        <v>7.25</v>
      </c>
      <c r="N120">
        <v>7.11</v>
      </c>
      <c r="O120" s="3"/>
      <c r="P120" s="3"/>
    </row>
    <row r="121" spans="4:16" x14ac:dyDescent="0.25">
      <c r="D121" s="2">
        <v>35240</v>
      </c>
      <c r="E121">
        <v>5.23</v>
      </c>
      <c r="F121">
        <v>5.44</v>
      </c>
      <c r="G121">
        <v>5.83</v>
      </c>
      <c r="H121">
        <v>6.32</v>
      </c>
      <c r="I121">
        <v>6.52</v>
      </c>
      <c r="J121">
        <v>6.72</v>
      </c>
      <c r="K121">
        <v>6.86</v>
      </c>
      <c r="L121">
        <v>6.94</v>
      </c>
      <c r="M121">
        <v>7.24</v>
      </c>
      <c r="N121">
        <v>7.09</v>
      </c>
      <c r="O121" s="3"/>
      <c r="P121" s="3"/>
    </row>
    <row r="122" spans="4:16" x14ac:dyDescent="0.25">
      <c r="D122" s="2">
        <v>35241</v>
      </c>
      <c r="E122">
        <v>5.24</v>
      </c>
      <c r="F122">
        <v>5.44</v>
      </c>
      <c r="G122">
        <v>5.82</v>
      </c>
      <c r="H122">
        <v>6.3</v>
      </c>
      <c r="I122">
        <v>6.5</v>
      </c>
      <c r="J122">
        <v>6.7</v>
      </c>
      <c r="K122">
        <v>6.82</v>
      </c>
      <c r="L122">
        <v>6.91</v>
      </c>
      <c r="M122">
        <v>7.2</v>
      </c>
      <c r="N122">
        <v>7.06</v>
      </c>
      <c r="O122" s="3"/>
      <c r="P122" s="3"/>
    </row>
    <row r="123" spans="4:16" x14ac:dyDescent="0.25">
      <c r="D123" s="2">
        <v>35242</v>
      </c>
      <c r="E123">
        <v>5.24</v>
      </c>
      <c r="F123">
        <v>5.45</v>
      </c>
      <c r="G123">
        <v>5.83</v>
      </c>
      <c r="H123">
        <v>6.3</v>
      </c>
      <c r="I123">
        <v>6.49</v>
      </c>
      <c r="J123">
        <v>6.67</v>
      </c>
      <c r="K123">
        <v>6.8</v>
      </c>
      <c r="L123">
        <v>6.91</v>
      </c>
      <c r="M123">
        <v>7.19</v>
      </c>
      <c r="N123">
        <v>7.05</v>
      </c>
      <c r="O123" s="3"/>
      <c r="P123" s="3"/>
    </row>
    <row r="124" spans="4:16" x14ac:dyDescent="0.25">
      <c r="D124" s="2">
        <v>35243</v>
      </c>
      <c r="E124">
        <v>5.2</v>
      </c>
      <c r="F124">
        <v>5.42</v>
      </c>
      <c r="G124">
        <v>5.77</v>
      </c>
      <c r="H124">
        <v>6.21</v>
      </c>
      <c r="I124">
        <v>6.41</v>
      </c>
      <c r="J124">
        <v>6.59</v>
      </c>
      <c r="K124">
        <v>6.72</v>
      </c>
      <c r="L124">
        <v>6.83</v>
      </c>
      <c r="M124">
        <v>7.13</v>
      </c>
      <c r="N124">
        <v>6.99</v>
      </c>
      <c r="O124" s="3"/>
      <c r="P124" s="3"/>
    </row>
    <row r="125" spans="4:16" x14ac:dyDescent="0.25">
      <c r="D125" s="2">
        <v>35244</v>
      </c>
      <c r="E125">
        <v>5.18</v>
      </c>
      <c r="F125">
        <v>5.37</v>
      </c>
      <c r="G125">
        <v>5.7</v>
      </c>
      <c r="H125">
        <v>6.11</v>
      </c>
      <c r="I125">
        <v>6.3</v>
      </c>
      <c r="J125">
        <v>6.47</v>
      </c>
      <c r="K125">
        <v>6.61</v>
      </c>
      <c r="L125">
        <v>6.73</v>
      </c>
      <c r="M125">
        <v>7.03</v>
      </c>
      <c r="N125">
        <v>6.9</v>
      </c>
      <c r="O125" s="3"/>
      <c r="P125" s="3"/>
    </row>
    <row r="126" spans="4:16" x14ac:dyDescent="0.25">
      <c r="D126" s="2">
        <v>35247</v>
      </c>
      <c r="E126">
        <v>5.27</v>
      </c>
      <c r="F126">
        <v>5.43</v>
      </c>
      <c r="G126">
        <v>5.74</v>
      </c>
      <c r="H126">
        <v>6.15</v>
      </c>
      <c r="I126">
        <v>6.33</v>
      </c>
      <c r="J126">
        <v>6.49</v>
      </c>
      <c r="K126">
        <v>6.61</v>
      </c>
      <c r="L126">
        <v>6.74</v>
      </c>
      <c r="M126">
        <v>7.03</v>
      </c>
      <c r="N126">
        <v>6.91</v>
      </c>
      <c r="O126" s="3"/>
      <c r="P126" s="3"/>
    </row>
    <row r="127" spans="4:16" x14ac:dyDescent="0.25">
      <c r="D127" s="2">
        <v>35248</v>
      </c>
      <c r="E127">
        <v>5.32</v>
      </c>
      <c r="F127">
        <v>5.49</v>
      </c>
      <c r="G127">
        <v>5.8</v>
      </c>
      <c r="H127">
        <v>6.22</v>
      </c>
      <c r="I127">
        <v>6.4</v>
      </c>
      <c r="J127">
        <v>6.56</v>
      </c>
      <c r="K127">
        <v>6.67</v>
      </c>
      <c r="L127">
        <v>6.8</v>
      </c>
      <c r="M127">
        <v>7.06</v>
      </c>
      <c r="N127">
        <v>6.94</v>
      </c>
      <c r="O127" s="3"/>
      <c r="P127" s="3"/>
    </row>
    <row r="128" spans="4:16" x14ac:dyDescent="0.25">
      <c r="D128" s="2">
        <v>35249</v>
      </c>
      <c r="E128">
        <v>5.24</v>
      </c>
      <c r="F128">
        <v>5.43</v>
      </c>
      <c r="G128">
        <v>5.75</v>
      </c>
      <c r="H128">
        <v>6.2</v>
      </c>
      <c r="I128">
        <v>6.36</v>
      </c>
      <c r="J128">
        <v>6.53</v>
      </c>
      <c r="K128">
        <v>6.67</v>
      </c>
      <c r="L128">
        <v>6.78</v>
      </c>
      <c r="M128">
        <v>7.06</v>
      </c>
      <c r="N128">
        <v>6.94</v>
      </c>
      <c r="O128" s="3"/>
      <c r="P128" s="3"/>
    </row>
    <row r="129" spans="4:16" x14ac:dyDescent="0.25">
      <c r="D129" s="2">
        <v>35251</v>
      </c>
      <c r="E129">
        <v>5.31</v>
      </c>
      <c r="F129">
        <v>5.6</v>
      </c>
      <c r="G129">
        <v>5.97</v>
      </c>
      <c r="H129">
        <v>6.44</v>
      </c>
      <c r="I129">
        <v>6.62</v>
      </c>
      <c r="J129">
        <v>6.82</v>
      </c>
      <c r="K129">
        <v>6.95</v>
      </c>
      <c r="L129">
        <v>7.06</v>
      </c>
      <c r="M129">
        <v>7.31</v>
      </c>
      <c r="N129">
        <v>7.19</v>
      </c>
      <c r="O129" s="3"/>
      <c r="P129" s="3"/>
    </row>
    <row r="130" spans="4:16" x14ac:dyDescent="0.25">
      <c r="D130" s="2">
        <v>35254</v>
      </c>
      <c r="E130">
        <v>5.35</v>
      </c>
      <c r="F130">
        <v>5.65</v>
      </c>
      <c r="G130">
        <v>5.98</v>
      </c>
      <c r="H130">
        <v>6.43</v>
      </c>
      <c r="I130">
        <v>6.62</v>
      </c>
      <c r="J130">
        <v>6.81</v>
      </c>
      <c r="K130">
        <v>6.95</v>
      </c>
      <c r="L130">
        <v>7.05</v>
      </c>
      <c r="M130">
        <v>7.32</v>
      </c>
      <c r="N130">
        <v>7.19</v>
      </c>
      <c r="O130" s="3"/>
      <c r="P130" s="3"/>
    </row>
    <row r="131" spans="4:16" x14ac:dyDescent="0.25">
      <c r="D131" s="2">
        <v>35255</v>
      </c>
      <c r="E131">
        <v>5.34</v>
      </c>
      <c r="F131">
        <v>5.63</v>
      </c>
      <c r="G131">
        <v>5.95</v>
      </c>
      <c r="H131">
        <v>6.41</v>
      </c>
      <c r="I131">
        <v>6.61</v>
      </c>
      <c r="J131">
        <v>6.78</v>
      </c>
      <c r="K131">
        <v>6.92</v>
      </c>
      <c r="L131">
        <v>7</v>
      </c>
      <c r="M131">
        <v>7.27</v>
      </c>
      <c r="N131">
        <v>7.15</v>
      </c>
      <c r="O131" s="3"/>
      <c r="P131" s="3"/>
    </row>
    <row r="132" spans="4:16" x14ac:dyDescent="0.25">
      <c r="D132" s="2">
        <v>35256</v>
      </c>
      <c r="E132">
        <v>5.29</v>
      </c>
      <c r="F132">
        <v>5.57</v>
      </c>
      <c r="G132">
        <v>5.89</v>
      </c>
      <c r="H132">
        <v>6.34</v>
      </c>
      <c r="I132">
        <v>6.52</v>
      </c>
      <c r="J132">
        <v>6.71</v>
      </c>
      <c r="K132">
        <v>6.85</v>
      </c>
      <c r="L132">
        <v>6.95</v>
      </c>
      <c r="M132">
        <v>7.22</v>
      </c>
      <c r="N132">
        <v>7.1</v>
      </c>
      <c r="O132" s="3"/>
      <c r="P132" s="3"/>
    </row>
    <row r="133" spans="4:16" x14ac:dyDescent="0.25">
      <c r="D133" s="2">
        <v>35257</v>
      </c>
      <c r="E133">
        <v>5.26</v>
      </c>
      <c r="F133">
        <v>5.53</v>
      </c>
      <c r="G133">
        <v>5.85</v>
      </c>
      <c r="H133">
        <v>6.28</v>
      </c>
      <c r="I133">
        <v>6.47</v>
      </c>
      <c r="J133">
        <v>6.67</v>
      </c>
      <c r="K133">
        <v>6.81</v>
      </c>
      <c r="L133">
        <v>6.9</v>
      </c>
      <c r="M133">
        <v>7.19</v>
      </c>
      <c r="N133">
        <v>7.07</v>
      </c>
      <c r="O133" s="3"/>
      <c r="P133" s="3"/>
    </row>
    <row r="134" spans="4:16" x14ac:dyDescent="0.25">
      <c r="D134" s="2">
        <v>35258</v>
      </c>
      <c r="E134">
        <v>5.28</v>
      </c>
      <c r="F134">
        <v>5.52</v>
      </c>
      <c r="G134">
        <v>5.84</v>
      </c>
      <c r="H134">
        <v>6.26</v>
      </c>
      <c r="I134">
        <v>6.45</v>
      </c>
      <c r="J134">
        <v>6.65</v>
      </c>
      <c r="K134">
        <v>6.76</v>
      </c>
      <c r="L134">
        <v>6.85</v>
      </c>
      <c r="M134">
        <v>7.15</v>
      </c>
      <c r="N134">
        <v>7.03</v>
      </c>
      <c r="O134" s="3"/>
      <c r="P134" s="3"/>
    </row>
    <row r="135" spans="4:16" x14ac:dyDescent="0.25">
      <c r="D135" s="2">
        <v>35261</v>
      </c>
      <c r="E135">
        <v>5.32</v>
      </c>
      <c r="F135">
        <v>5.57</v>
      </c>
      <c r="G135">
        <v>5.86</v>
      </c>
      <c r="H135">
        <v>6.32</v>
      </c>
      <c r="I135">
        <v>6.5</v>
      </c>
      <c r="J135">
        <v>6.67</v>
      </c>
      <c r="K135">
        <v>6.79</v>
      </c>
      <c r="L135">
        <v>6.89</v>
      </c>
      <c r="M135">
        <v>7.18</v>
      </c>
      <c r="N135">
        <v>7.07</v>
      </c>
      <c r="O135" s="3"/>
      <c r="P135" s="3"/>
    </row>
    <row r="136" spans="4:16" x14ac:dyDescent="0.25">
      <c r="D136" s="2">
        <v>35262</v>
      </c>
      <c r="E136">
        <v>5.27</v>
      </c>
      <c r="F136">
        <v>5.49</v>
      </c>
      <c r="G136">
        <v>5.77</v>
      </c>
      <c r="H136">
        <v>6.23</v>
      </c>
      <c r="I136">
        <v>6.42</v>
      </c>
      <c r="J136">
        <v>6.61</v>
      </c>
      <c r="K136">
        <v>6.74</v>
      </c>
      <c r="L136">
        <v>6.84</v>
      </c>
      <c r="M136">
        <v>7.14</v>
      </c>
      <c r="N136">
        <v>7.03</v>
      </c>
      <c r="O136" s="3"/>
      <c r="P136" s="3"/>
    </row>
    <row r="137" spans="4:16" x14ac:dyDescent="0.25">
      <c r="D137" s="2">
        <v>35263</v>
      </c>
      <c r="E137">
        <v>5.26</v>
      </c>
      <c r="F137">
        <v>5.49</v>
      </c>
      <c r="G137">
        <v>5.79</v>
      </c>
      <c r="H137">
        <v>6.23</v>
      </c>
      <c r="I137">
        <v>6.43</v>
      </c>
      <c r="J137">
        <v>6.61</v>
      </c>
      <c r="K137">
        <v>6.75</v>
      </c>
      <c r="L137">
        <v>6.83</v>
      </c>
      <c r="M137">
        <v>7.14</v>
      </c>
      <c r="N137">
        <v>7.02</v>
      </c>
      <c r="O137" s="3"/>
      <c r="P137" s="3"/>
    </row>
    <row r="138" spans="4:16" x14ac:dyDescent="0.25">
      <c r="D138" s="2">
        <v>35264</v>
      </c>
      <c r="E138">
        <v>5.25</v>
      </c>
      <c r="F138">
        <v>5.46</v>
      </c>
      <c r="G138">
        <v>5.79</v>
      </c>
      <c r="H138">
        <v>6.16</v>
      </c>
      <c r="I138">
        <v>6.32</v>
      </c>
      <c r="J138">
        <v>6.5</v>
      </c>
      <c r="K138">
        <v>6.61</v>
      </c>
      <c r="L138">
        <v>6.72</v>
      </c>
      <c r="M138">
        <v>7.02</v>
      </c>
      <c r="N138">
        <v>6.92</v>
      </c>
      <c r="O138" s="3"/>
      <c r="P138" s="3"/>
    </row>
    <row r="139" spans="4:16" x14ac:dyDescent="0.25">
      <c r="D139" s="2">
        <v>35265</v>
      </c>
      <c r="E139">
        <v>5.28</v>
      </c>
      <c r="F139">
        <v>5.5</v>
      </c>
      <c r="G139">
        <v>5.81</v>
      </c>
      <c r="H139">
        <v>6.18</v>
      </c>
      <c r="I139">
        <v>6.35</v>
      </c>
      <c r="J139">
        <v>6.55</v>
      </c>
      <c r="K139">
        <v>6.67</v>
      </c>
      <c r="L139">
        <v>6.78</v>
      </c>
      <c r="M139">
        <v>7.08</v>
      </c>
      <c r="N139">
        <v>6.97</v>
      </c>
      <c r="O139" s="3"/>
      <c r="P139" s="3"/>
    </row>
    <row r="140" spans="4:16" x14ac:dyDescent="0.25">
      <c r="D140" s="2">
        <v>35268</v>
      </c>
      <c r="E140">
        <v>5.3</v>
      </c>
      <c r="F140">
        <v>5.53</v>
      </c>
      <c r="G140">
        <v>5.86</v>
      </c>
      <c r="H140">
        <v>6.23</v>
      </c>
      <c r="I140">
        <v>6.43</v>
      </c>
      <c r="J140">
        <v>6.62</v>
      </c>
      <c r="K140">
        <v>6.73</v>
      </c>
      <c r="L140">
        <v>6.84</v>
      </c>
      <c r="M140">
        <v>7.12</v>
      </c>
      <c r="N140">
        <v>7.01</v>
      </c>
      <c r="O140" s="3"/>
      <c r="P140" s="3"/>
    </row>
    <row r="141" spans="4:16" x14ac:dyDescent="0.25">
      <c r="D141" s="2">
        <v>35269</v>
      </c>
      <c r="E141">
        <v>5.3</v>
      </c>
      <c r="F141">
        <v>5.52</v>
      </c>
      <c r="G141">
        <v>5.85</v>
      </c>
      <c r="H141">
        <v>6.23</v>
      </c>
      <c r="I141">
        <v>6.42</v>
      </c>
      <c r="J141">
        <v>6.6</v>
      </c>
      <c r="K141">
        <v>6.7</v>
      </c>
      <c r="L141">
        <v>6.8</v>
      </c>
      <c r="M141">
        <v>7.08</v>
      </c>
      <c r="N141">
        <v>6.97</v>
      </c>
      <c r="O141" s="3"/>
      <c r="P141" s="3"/>
    </row>
    <row r="142" spans="4:16" x14ac:dyDescent="0.25">
      <c r="D142" s="2">
        <v>35270</v>
      </c>
      <c r="E142">
        <v>5.31</v>
      </c>
      <c r="F142">
        <v>5.53</v>
      </c>
      <c r="G142">
        <v>5.86</v>
      </c>
      <c r="H142">
        <v>6.26</v>
      </c>
      <c r="I142">
        <v>6.46</v>
      </c>
      <c r="J142">
        <v>6.63</v>
      </c>
      <c r="K142">
        <v>6.76</v>
      </c>
      <c r="L142">
        <v>6.87</v>
      </c>
      <c r="M142">
        <v>7.15</v>
      </c>
      <c r="N142">
        <v>7.04</v>
      </c>
      <c r="O142" s="3"/>
      <c r="P142" s="3"/>
    </row>
    <row r="143" spans="4:16" x14ac:dyDescent="0.25">
      <c r="D143" s="2">
        <v>35271</v>
      </c>
      <c r="E143">
        <v>5.29</v>
      </c>
      <c r="F143">
        <v>5.53</v>
      </c>
      <c r="G143">
        <v>5.85</v>
      </c>
      <c r="H143">
        <v>6.28</v>
      </c>
      <c r="I143">
        <v>6.46</v>
      </c>
      <c r="J143">
        <v>6.65</v>
      </c>
      <c r="K143">
        <v>6.74</v>
      </c>
      <c r="L143">
        <v>6.87</v>
      </c>
      <c r="M143">
        <v>7.14</v>
      </c>
      <c r="N143">
        <v>7.04</v>
      </c>
      <c r="O143" s="3"/>
      <c r="P143" s="3"/>
    </row>
    <row r="144" spans="4:16" x14ac:dyDescent="0.25">
      <c r="D144" s="2">
        <v>35272</v>
      </c>
      <c r="E144">
        <v>5.29</v>
      </c>
      <c r="F144">
        <v>5.52</v>
      </c>
      <c r="G144">
        <v>5.85</v>
      </c>
      <c r="H144">
        <v>6.25</v>
      </c>
      <c r="I144">
        <v>6.45</v>
      </c>
      <c r="J144">
        <v>6.62</v>
      </c>
      <c r="K144">
        <v>6.74</v>
      </c>
      <c r="L144">
        <v>6.85</v>
      </c>
      <c r="M144">
        <v>7.12</v>
      </c>
      <c r="N144">
        <v>7.02</v>
      </c>
      <c r="O144" s="3"/>
      <c r="P144" s="3"/>
    </row>
    <row r="145" spans="4:16" x14ac:dyDescent="0.25">
      <c r="D145" s="2">
        <v>35275</v>
      </c>
      <c r="E145">
        <v>5.37</v>
      </c>
      <c r="F145">
        <v>5.56</v>
      </c>
      <c r="G145">
        <v>5.93</v>
      </c>
      <c r="H145">
        <v>6.32</v>
      </c>
      <c r="I145">
        <v>6.5</v>
      </c>
      <c r="J145">
        <v>6.69</v>
      </c>
      <c r="K145">
        <v>6.81</v>
      </c>
      <c r="L145">
        <v>6.93</v>
      </c>
      <c r="M145">
        <v>7.19</v>
      </c>
      <c r="N145">
        <v>7.09</v>
      </c>
      <c r="O145" s="3"/>
      <c r="P145" s="3"/>
    </row>
    <row r="146" spans="4:16" x14ac:dyDescent="0.25">
      <c r="D146" s="2">
        <v>35276</v>
      </c>
      <c r="E146">
        <v>5.34</v>
      </c>
      <c r="F146">
        <v>5.51</v>
      </c>
      <c r="G146">
        <v>5.88</v>
      </c>
      <c r="H146">
        <v>6.3</v>
      </c>
      <c r="I146">
        <v>6.47</v>
      </c>
      <c r="J146">
        <v>6.65</v>
      </c>
      <c r="K146">
        <v>6.77</v>
      </c>
      <c r="L146">
        <v>6.89</v>
      </c>
      <c r="M146">
        <v>7.14</v>
      </c>
      <c r="N146">
        <v>7.05</v>
      </c>
      <c r="O146" s="3"/>
      <c r="P146" s="3"/>
    </row>
    <row r="147" spans="4:16" x14ac:dyDescent="0.25">
      <c r="D147" s="2">
        <v>35277</v>
      </c>
      <c r="E147">
        <v>5.32</v>
      </c>
      <c r="F147">
        <v>5.47</v>
      </c>
      <c r="G147">
        <v>5.85</v>
      </c>
      <c r="H147">
        <v>6.22</v>
      </c>
      <c r="I147">
        <v>6.39</v>
      </c>
      <c r="J147">
        <v>6.57</v>
      </c>
      <c r="K147">
        <v>6.68</v>
      </c>
      <c r="L147">
        <v>6.8</v>
      </c>
      <c r="M147">
        <v>7.07</v>
      </c>
      <c r="N147">
        <v>6.98</v>
      </c>
      <c r="O147" s="3"/>
      <c r="P147" s="3"/>
    </row>
    <row r="148" spans="4:16" x14ac:dyDescent="0.25">
      <c r="D148" s="2">
        <v>35278</v>
      </c>
      <c r="E148">
        <v>5.25</v>
      </c>
      <c r="F148">
        <v>5.41</v>
      </c>
      <c r="G148">
        <v>5.74</v>
      </c>
      <c r="H148">
        <v>6.08</v>
      </c>
      <c r="I148">
        <v>6.25</v>
      </c>
      <c r="J148">
        <v>6.41</v>
      </c>
      <c r="K148">
        <v>6.52</v>
      </c>
      <c r="L148">
        <v>6.65</v>
      </c>
      <c r="M148">
        <v>6.94</v>
      </c>
      <c r="N148">
        <v>6.84</v>
      </c>
      <c r="O148" s="3"/>
      <c r="P148" s="3"/>
    </row>
    <row r="149" spans="4:16" x14ac:dyDescent="0.25">
      <c r="D149" s="2">
        <v>35279</v>
      </c>
      <c r="E149">
        <v>5.21</v>
      </c>
      <c r="F149">
        <v>5.32</v>
      </c>
      <c r="G149">
        <v>5.6</v>
      </c>
      <c r="H149">
        <v>5.91</v>
      </c>
      <c r="I149">
        <v>6.09</v>
      </c>
      <c r="J149">
        <v>6.26</v>
      </c>
      <c r="K149">
        <v>6.38</v>
      </c>
      <c r="L149">
        <v>6.51</v>
      </c>
      <c r="M149">
        <v>6.83</v>
      </c>
      <c r="N149">
        <v>6.74</v>
      </c>
      <c r="O149" s="3"/>
      <c r="P149" s="3"/>
    </row>
    <row r="150" spans="4:16" x14ac:dyDescent="0.25">
      <c r="D150" s="2">
        <v>35282</v>
      </c>
      <c r="E150">
        <v>5.2</v>
      </c>
      <c r="F150">
        <v>5.32</v>
      </c>
      <c r="G150">
        <v>5.6</v>
      </c>
      <c r="H150">
        <v>5.93</v>
      </c>
      <c r="I150">
        <v>6.1</v>
      </c>
      <c r="J150">
        <v>6.28</v>
      </c>
      <c r="K150">
        <v>6.4</v>
      </c>
      <c r="L150">
        <v>6.53</v>
      </c>
      <c r="M150">
        <v>6.84</v>
      </c>
      <c r="N150">
        <v>6.75</v>
      </c>
      <c r="O150" s="3"/>
      <c r="P150" s="3"/>
    </row>
    <row r="151" spans="4:16" x14ac:dyDescent="0.25">
      <c r="D151" s="2">
        <v>35283</v>
      </c>
      <c r="E151">
        <v>5.19</v>
      </c>
      <c r="F151">
        <v>5.32</v>
      </c>
      <c r="G151">
        <v>5.61</v>
      </c>
      <c r="H151">
        <v>5.93</v>
      </c>
      <c r="I151">
        <v>6.13</v>
      </c>
      <c r="J151">
        <v>6.29</v>
      </c>
      <c r="K151">
        <v>6.42</v>
      </c>
      <c r="L151">
        <v>6.54</v>
      </c>
      <c r="M151">
        <v>6.86</v>
      </c>
      <c r="N151">
        <v>6.76</v>
      </c>
      <c r="O151" s="3"/>
      <c r="P151" s="3"/>
    </row>
    <row r="152" spans="4:16" x14ac:dyDescent="0.25">
      <c r="D152" s="2">
        <v>35284</v>
      </c>
      <c r="E152">
        <v>5.18</v>
      </c>
      <c r="F152">
        <v>5.33</v>
      </c>
      <c r="G152">
        <v>5.62</v>
      </c>
      <c r="H152">
        <v>5.97</v>
      </c>
      <c r="I152">
        <v>6.14</v>
      </c>
      <c r="J152">
        <v>6.3</v>
      </c>
      <c r="K152">
        <v>6.43</v>
      </c>
      <c r="L152">
        <v>6.55</v>
      </c>
      <c r="M152">
        <v>6.87</v>
      </c>
      <c r="N152">
        <v>6.78</v>
      </c>
      <c r="O152" s="3"/>
      <c r="P152" s="3"/>
    </row>
    <row r="153" spans="4:16" x14ac:dyDescent="0.25">
      <c r="D153" s="2">
        <v>35285</v>
      </c>
      <c r="E153">
        <v>5.15</v>
      </c>
      <c r="F153">
        <v>5.33</v>
      </c>
      <c r="G153">
        <v>5.62</v>
      </c>
      <c r="H153">
        <v>5.97</v>
      </c>
      <c r="I153">
        <v>6.14</v>
      </c>
      <c r="J153">
        <v>6.29</v>
      </c>
      <c r="K153">
        <v>6.43</v>
      </c>
      <c r="L153">
        <v>6.56</v>
      </c>
      <c r="M153">
        <v>6.89</v>
      </c>
      <c r="N153">
        <v>6.76</v>
      </c>
      <c r="O153" s="3"/>
      <c r="P153" s="3"/>
    </row>
    <row r="154" spans="4:16" x14ac:dyDescent="0.25">
      <c r="D154" s="2">
        <v>35286</v>
      </c>
      <c r="E154">
        <v>5.15</v>
      </c>
      <c r="F154">
        <v>5.32</v>
      </c>
      <c r="G154">
        <v>5.57</v>
      </c>
      <c r="H154">
        <v>5.93</v>
      </c>
      <c r="I154">
        <v>6.09</v>
      </c>
      <c r="J154">
        <v>6.25</v>
      </c>
      <c r="K154">
        <v>6.37</v>
      </c>
      <c r="L154">
        <v>6.5</v>
      </c>
      <c r="M154">
        <v>6.83</v>
      </c>
      <c r="N154">
        <v>6.7</v>
      </c>
      <c r="O154" s="3"/>
      <c r="P154" s="3"/>
    </row>
    <row r="155" spans="4:16" x14ac:dyDescent="0.25">
      <c r="D155" s="2">
        <v>35289</v>
      </c>
      <c r="E155">
        <v>5.18</v>
      </c>
      <c r="F155">
        <v>5.3</v>
      </c>
      <c r="G155">
        <v>5.58</v>
      </c>
      <c r="H155">
        <v>5.92</v>
      </c>
      <c r="I155">
        <v>6.08</v>
      </c>
      <c r="J155">
        <v>6.24</v>
      </c>
      <c r="K155">
        <v>6.37</v>
      </c>
      <c r="L155">
        <v>6.49</v>
      </c>
      <c r="M155">
        <v>6.82</v>
      </c>
      <c r="N155">
        <v>6.7</v>
      </c>
      <c r="O155" s="3"/>
      <c r="P155" s="3"/>
    </row>
    <row r="156" spans="4:16" x14ac:dyDescent="0.25">
      <c r="D156" s="2">
        <v>35290</v>
      </c>
      <c r="E156">
        <v>5.17</v>
      </c>
      <c r="F156">
        <v>5.32</v>
      </c>
      <c r="G156">
        <v>5.63</v>
      </c>
      <c r="H156">
        <v>5.97</v>
      </c>
      <c r="I156">
        <v>6.14</v>
      </c>
      <c r="J156">
        <v>6.32</v>
      </c>
      <c r="K156">
        <v>6.44</v>
      </c>
      <c r="L156">
        <v>6.57</v>
      </c>
      <c r="M156">
        <v>6.92</v>
      </c>
      <c r="N156">
        <v>6.78</v>
      </c>
      <c r="O156" s="3"/>
      <c r="P156" s="3"/>
    </row>
    <row r="157" spans="4:16" x14ac:dyDescent="0.25">
      <c r="D157" s="2">
        <v>35291</v>
      </c>
      <c r="E157">
        <v>5.16</v>
      </c>
      <c r="F157">
        <v>5.31</v>
      </c>
      <c r="G157">
        <v>5.61</v>
      </c>
      <c r="H157">
        <v>5.97</v>
      </c>
      <c r="I157">
        <v>6.14</v>
      </c>
      <c r="J157">
        <v>6.33</v>
      </c>
      <c r="K157">
        <v>6.46</v>
      </c>
      <c r="L157">
        <v>6.58</v>
      </c>
      <c r="M157">
        <v>6.92</v>
      </c>
      <c r="N157">
        <v>6.78</v>
      </c>
      <c r="O157" s="3"/>
      <c r="P157" s="3"/>
    </row>
    <row r="158" spans="4:16" x14ac:dyDescent="0.25">
      <c r="D158" s="2">
        <v>35292</v>
      </c>
      <c r="E158">
        <v>5.19</v>
      </c>
      <c r="F158">
        <v>5.34</v>
      </c>
      <c r="G158">
        <v>5.66</v>
      </c>
      <c r="H158">
        <v>6</v>
      </c>
      <c r="I158">
        <v>6.17</v>
      </c>
      <c r="J158">
        <v>6.37</v>
      </c>
      <c r="K158">
        <v>6.49</v>
      </c>
      <c r="L158">
        <v>6.62</v>
      </c>
      <c r="M158">
        <v>6.95</v>
      </c>
      <c r="N158">
        <v>6.82</v>
      </c>
      <c r="O158" s="3"/>
      <c r="P158" s="3"/>
    </row>
    <row r="159" spans="4:16" x14ac:dyDescent="0.25">
      <c r="D159" s="2">
        <v>35293</v>
      </c>
      <c r="E159">
        <v>5.18</v>
      </c>
      <c r="F159">
        <v>5.32</v>
      </c>
      <c r="G159">
        <v>5.61</v>
      </c>
      <c r="H159">
        <v>5.95</v>
      </c>
      <c r="I159">
        <v>6.13</v>
      </c>
      <c r="J159">
        <v>6.31</v>
      </c>
      <c r="K159">
        <v>6.43</v>
      </c>
      <c r="L159">
        <v>6.56</v>
      </c>
      <c r="M159">
        <v>6.9</v>
      </c>
      <c r="N159">
        <v>6.77</v>
      </c>
      <c r="O159" s="3"/>
      <c r="P159" s="3"/>
    </row>
    <row r="160" spans="4:16" x14ac:dyDescent="0.25">
      <c r="D160" s="2">
        <v>35296</v>
      </c>
      <c r="E160">
        <v>5.2</v>
      </c>
      <c r="F160">
        <v>5.35</v>
      </c>
      <c r="G160">
        <v>5.64</v>
      </c>
      <c r="H160">
        <v>5.97</v>
      </c>
      <c r="I160">
        <v>6.15</v>
      </c>
      <c r="J160">
        <v>6.34</v>
      </c>
      <c r="K160">
        <v>6.47</v>
      </c>
      <c r="L160">
        <v>6.59</v>
      </c>
      <c r="M160">
        <v>6.94</v>
      </c>
      <c r="N160">
        <v>6.8</v>
      </c>
      <c r="O160" s="3"/>
      <c r="P160" s="3"/>
    </row>
    <row r="161" spans="4:16" x14ac:dyDescent="0.25">
      <c r="D161" s="2">
        <v>35297</v>
      </c>
      <c r="E161">
        <v>5.18</v>
      </c>
      <c r="F161">
        <v>5.32</v>
      </c>
      <c r="G161">
        <v>5.62</v>
      </c>
      <c r="H161">
        <v>5.97</v>
      </c>
      <c r="I161">
        <v>6.14</v>
      </c>
      <c r="J161">
        <v>6.34</v>
      </c>
      <c r="K161">
        <v>6.47</v>
      </c>
      <c r="L161">
        <v>6.59</v>
      </c>
      <c r="M161">
        <v>6.94</v>
      </c>
      <c r="N161">
        <v>6.8</v>
      </c>
      <c r="O161" s="3"/>
      <c r="P161" s="3"/>
    </row>
    <row r="162" spans="4:16" x14ac:dyDescent="0.25">
      <c r="D162" s="2">
        <v>35298</v>
      </c>
      <c r="E162">
        <v>5.14</v>
      </c>
      <c r="F162">
        <v>5.3</v>
      </c>
      <c r="G162">
        <v>5.62</v>
      </c>
      <c r="H162">
        <v>5.99</v>
      </c>
      <c r="I162">
        <v>6.15</v>
      </c>
      <c r="J162">
        <v>6.35</v>
      </c>
      <c r="K162">
        <v>6.49</v>
      </c>
      <c r="L162">
        <v>6.61</v>
      </c>
      <c r="M162">
        <v>6.97</v>
      </c>
      <c r="N162">
        <v>6.83</v>
      </c>
      <c r="O162" s="3"/>
      <c r="P162" s="3"/>
    </row>
    <row r="163" spans="4:16" x14ac:dyDescent="0.25">
      <c r="D163" s="2">
        <v>35299</v>
      </c>
      <c r="E163">
        <v>5.14</v>
      </c>
      <c r="F163">
        <v>5.29</v>
      </c>
      <c r="G163">
        <v>5.62</v>
      </c>
      <c r="H163">
        <v>6</v>
      </c>
      <c r="I163">
        <v>6.18</v>
      </c>
      <c r="J163">
        <v>6.38</v>
      </c>
      <c r="K163">
        <v>6.51</v>
      </c>
      <c r="L163">
        <v>6.62</v>
      </c>
      <c r="M163">
        <v>6.97</v>
      </c>
      <c r="N163">
        <v>6.84</v>
      </c>
      <c r="O163" s="3"/>
      <c r="P163" s="3"/>
    </row>
    <row r="164" spans="4:16" x14ac:dyDescent="0.25">
      <c r="D164" s="2">
        <v>35300</v>
      </c>
      <c r="E164">
        <v>5.15</v>
      </c>
      <c r="F164">
        <v>5.32</v>
      </c>
      <c r="G164">
        <v>5.69</v>
      </c>
      <c r="H164">
        <v>6.09</v>
      </c>
      <c r="I164">
        <v>6.27</v>
      </c>
      <c r="J164">
        <v>6.48</v>
      </c>
      <c r="K164">
        <v>6.61</v>
      </c>
      <c r="L164">
        <v>6.72</v>
      </c>
      <c r="M164">
        <v>7.06</v>
      </c>
      <c r="N164">
        <v>6.93</v>
      </c>
      <c r="O164" s="3"/>
      <c r="P164" s="3"/>
    </row>
    <row r="165" spans="4:16" x14ac:dyDescent="0.25">
      <c r="D165" s="2">
        <v>35303</v>
      </c>
      <c r="E165">
        <v>5.21</v>
      </c>
      <c r="F165">
        <v>5.37</v>
      </c>
      <c r="G165">
        <v>5.77</v>
      </c>
      <c r="H165">
        <v>6.18</v>
      </c>
      <c r="I165">
        <v>6.37</v>
      </c>
      <c r="J165">
        <v>6.57</v>
      </c>
      <c r="K165">
        <v>6.69</v>
      </c>
      <c r="L165">
        <v>6.8</v>
      </c>
      <c r="M165">
        <v>7.14</v>
      </c>
      <c r="N165">
        <v>7</v>
      </c>
      <c r="O165" s="3"/>
      <c r="P165" s="3"/>
    </row>
    <row r="166" spans="4:16" x14ac:dyDescent="0.25">
      <c r="D166" s="2">
        <v>35304</v>
      </c>
      <c r="E166">
        <v>5.2</v>
      </c>
      <c r="F166">
        <v>5.36</v>
      </c>
      <c r="G166">
        <v>5.76</v>
      </c>
      <c r="H166">
        <v>6.17</v>
      </c>
      <c r="I166">
        <v>6.36</v>
      </c>
      <c r="J166">
        <v>6.55</v>
      </c>
      <c r="K166">
        <v>6.67</v>
      </c>
      <c r="L166">
        <v>6.78</v>
      </c>
      <c r="M166">
        <v>7.12</v>
      </c>
      <c r="N166">
        <v>6.97</v>
      </c>
      <c r="O166" s="3"/>
      <c r="P166" s="3"/>
    </row>
    <row r="167" spans="4:16" x14ac:dyDescent="0.25">
      <c r="D167" s="2">
        <v>35305</v>
      </c>
      <c r="E167">
        <v>5.2</v>
      </c>
      <c r="F167">
        <v>5.36</v>
      </c>
      <c r="G167">
        <v>5.77</v>
      </c>
      <c r="H167">
        <v>6.17</v>
      </c>
      <c r="I167">
        <v>6.36</v>
      </c>
      <c r="J167">
        <v>6.56</v>
      </c>
      <c r="K167">
        <v>6.68</v>
      </c>
      <c r="L167">
        <v>6.79</v>
      </c>
      <c r="M167">
        <v>7.13</v>
      </c>
      <c r="N167">
        <v>6.99</v>
      </c>
      <c r="O167" s="3"/>
      <c r="P167" s="3"/>
    </row>
    <row r="168" spans="4:16" x14ac:dyDescent="0.25">
      <c r="D168" s="2">
        <v>35306</v>
      </c>
      <c r="E168">
        <v>5.24</v>
      </c>
      <c r="F168">
        <v>5.41</v>
      </c>
      <c r="G168">
        <v>5.82</v>
      </c>
      <c r="H168">
        <v>6.23</v>
      </c>
      <c r="I168">
        <v>6.42</v>
      </c>
      <c r="J168">
        <v>6.61</v>
      </c>
      <c r="K168">
        <v>6.74</v>
      </c>
      <c r="L168">
        <v>6.86</v>
      </c>
      <c r="M168">
        <v>7.19</v>
      </c>
      <c r="N168">
        <v>7.05</v>
      </c>
      <c r="O168" s="3"/>
      <c r="P168" s="3"/>
    </row>
    <row r="169" spans="4:16" x14ac:dyDescent="0.25">
      <c r="D169" s="2">
        <v>35307</v>
      </c>
      <c r="E169">
        <v>5.29</v>
      </c>
      <c r="F169">
        <v>5.49</v>
      </c>
      <c r="G169">
        <v>5.91</v>
      </c>
      <c r="H169">
        <v>6.34</v>
      </c>
      <c r="I169">
        <v>6.54</v>
      </c>
      <c r="J169">
        <v>6.73</v>
      </c>
      <c r="K169">
        <v>6.86</v>
      </c>
      <c r="L169">
        <v>6.96</v>
      </c>
      <c r="M169">
        <v>7.28</v>
      </c>
      <c r="N169">
        <v>7.13</v>
      </c>
      <c r="O169" s="3"/>
      <c r="P169" s="3"/>
    </row>
    <row r="170" spans="4:16" x14ac:dyDescent="0.25">
      <c r="D170" s="2">
        <v>35311</v>
      </c>
      <c r="E170">
        <v>5.32</v>
      </c>
      <c r="F170">
        <v>5.58</v>
      </c>
      <c r="G170">
        <v>5.94</v>
      </c>
      <c r="H170">
        <v>6.35</v>
      </c>
      <c r="I170">
        <v>6.54</v>
      </c>
      <c r="J170">
        <v>6.71</v>
      </c>
      <c r="K170">
        <v>6.83</v>
      </c>
      <c r="L170">
        <v>6.92</v>
      </c>
      <c r="M170">
        <v>7.22</v>
      </c>
      <c r="N170">
        <v>7.07</v>
      </c>
      <c r="O170" s="3"/>
      <c r="P170" s="3"/>
    </row>
    <row r="171" spans="4:16" x14ac:dyDescent="0.25">
      <c r="D171" s="2">
        <v>35312</v>
      </c>
      <c r="E171">
        <v>5.32</v>
      </c>
      <c r="F171">
        <v>5.58</v>
      </c>
      <c r="G171">
        <v>5.97</v>
      </c>
      <c r="H171">
        <v>6.38</v>
      </c>
      <c r="I171">
        <v>6.56</v>
      </c>
      <c r="J171">
        <v>6.74</v>
      </c>
      <c r="K171">
        <v>6.85</v>
      </c>
      <c r="L171">
        <v>6.94</v>
      </c>
      <c r="M171">
        <v>7.25</v>
      </c>
      <c r="N171">
        <v>7.1</v>
      </c>
      <c r="O171" s="3"/>
      <c r="P171" s="3"/>
    </row>
    <row r="172" spans="4:16" x14ac:dyDescent="0.25">
      <c r="D172" s="2">
        <v>35313</v>
      </c>
      <c r="E172">
        <v>5.34</v>
      </c>
      <c r="F172">
        <v>5.59</v>
      </c>
      <c r="G172">
        <v>5.98</v>
      </c>
      <c r="H172">
        <v>6.38</v>
      </c>
      <c r="I172">
        <v>6.56</v>
      </c>
      <c r="J172">
        <v>6.76</v>
      </c>
      <c r="K172">
        <v>6.88</v>
      </c>
      <c r="L172">
        <v>6.98</v>
      </c>
      <c r="M172">
        <v>7.3</v>
      </c>
      <c r="N172">
        <v>7.15</v>
      </c>
      <c r="O172" s="3"/>
      <c r="P172" s="3"/>
    </row>
    <row r="173" spans="4:16" x14ac:dyDescent="0.25">
      <c r="D173" s="2">
        <v>35314</v>
      </c>
      <c r="E173">
        <v>5.33</v>
      </c>
      <c r="F173">
        <v>5.57</v>
      </c>
      <c r="G173">
        <v>5.92</v>
      </c>
      <c r="H173">
        <v>6.33</v>
      </c>
      <c r="I173">
        <v>6.52</v>
      </c>
      <c r="J173">
        <v>6.72</v>
      </c>
      <c r="K173">
        <v>6.84</v>
      </c>
      <c r="L173">
        <v>6.94</v>
      </c>
      <c r="M173">
        <v>7.27</v>
      </c>
      <c r="N173">
        <v>7.12</v>
      </c>
      <c r="O173" s="3"/>
      <c r="P173" s="3"/>
    </row>
    <row r="174" spans="4:16" x14ac:dyDescent="0.25">
      <c r="D174" s="2">
        <v>35317</v>
      </c>
      <c r="E174">
        <v>5.29</v>
      </c>
      <c r="F174">
        <v>5.5</v>
      </c>
      <c r="G174">
        <v>5.91</v>
      </c>
      <c r="H174">
        <v>6.32</v>
      </c>
      <c r="I174">
        <v>6.47</v>
      </c>
      <c r="J174">
        <v>6.67</v>
      </c>
      <c r="K174">
        <v>6.8</v>
      </c>
      <c r="L174">
        <v>6.9</v>
      </c>
      <c r="M174">
        <v>7.23</v>
      </c>
      <c r="N174">
        <v>7.08</v>
      </c>
      <c r="O174" s="3"/>
      <c r="P174" s="3"/>
    </row>
    <row r="175" spans="4:16" x14ac:dyDescent="0.25">
      <c r="D175" s="2">
        <v>35318</v>
      </c>
      <c r="E175">
        <v>5.29</v>
      </c>
      <c r="F175">
        <v>5.55</v>
      </c>
      <c r="G175">
        <v>5.93</v>
      </c>
      <c r="H175">
        <v>6.34</v>
      </c>
      <c r="I175">
        <v>6.52</v>
      </c>
      <c r="J175">
        <v>6.7</v>
      </c>
      <c r="K175">
        <v>6.84</v>
      </c>
      <c r="L175">
        <v>6.94</v>
      </c>
      <c r="M175">
        <v>7.28</v>
      </c>
      <c r="N175">
        <v>7.13</v>
      </c>
      <c r="O175" s="3"/>
      <c r="P175" s="3"/>
    </row>
    <row r="176" spans="4:16" x14ac:dyDescent="0.25">
      <c r="D176" s="2">
        <v>35319</v>
      </c>
      <c r="E176">
        <v>5.31</v>
      </c>
      <c r="F176">
        <v>5.52</v>
      </c>
      <c r="G176">
        <v>5.94</v>
      </c>
      <c r="H176">
        <v>6.34</v>
      </c>
      <c r="I176">
        <v>6.51</v>
      </c>
      <c r="J176">
        <v>6.7</v>
      </c>
      <c r="K176">
        <v>6.84</v>
      </c>
      <c r="L176">
        <v>6.94</v>
      </c>
      <c r="M176">
        <v>7.27</v>
      </c>
      <c r="N176">
        <v>7.12</v>
      </c>
      <c r="O176" s="3"/>
      <c r="P176" s="3"/>
    </row>
    <row r="177" spans="4:16" x14ac:dyDescent="0.25">
      <c r="D177" s="2">
        <v>35320</v>
      </c>
      <c r="E177">
        <v>5.28</v>
      </c>
      <c r="F177">
        <v>5.5</v>
      </c>
      <c r="G177">
        <v>5.9</v>
      </c>
      <c r="H177">
        <v>6.27</v>
      </c>
      <c r="I177">
        <v>6.44</v>
      </c>
      <c r="J177">
        <v>6.64</v>
      </c>
      <c r="K177">
        <v>6.79</v>
      </c>
      <c r="L177">
        <v>6.88</v>
      </c>
      <c r="M177">
        <v>7.23</v>
      </c>
      <c r="N177">
        <v>7.08</v>
      </c>
      <c r="O177" s="3"/>
      <c r="P177" s="3"/>
    </row>
    <row r="178" spans="4:16" x14ac:dyDescent="0.25">
      <c r="D178" s="2">
        <v>35321</v>
      </c>
      <c r="E178">
        <v>5.21</v>
      </c>
      <c r="F178">
        <v>5.38</v>
      </c>
      <c r="G178">
        <v>5.74</v>
      </c>
      <c r="H178">
        <v>6.1</v>
      </c>
      <c r="I178">
        <v>6.29</v>
      </c>
      <c r="J178">
        <v>6.48</v>
      </c>
      <c r="K178">
        <v>6.64</v>
      </c>
      <c r="L178">
        <v>6.74</v>
      </c>
      <c r="M178">
        <v>7.1</v>
      </c>
      <c r="N178">
        <v>6.95</v>
      </c>
      <c r="O178" s="3"/>
      <c r="P178" s="3"/>
    </row>
    <row r="179" spans="4:16" x14ac:dyDescent="0.25">
      <c r="D179" s="2">
        <v>35324</v>
      </c>
      <c r="E179">
        <v>5.2</v>
      </c>
      <c r="F179">
        <v>5.38</v>
      </c>
      <c r="G179">
        <v>5.74</v>
      </c>
      <c r="H179">
        <v>6.14</v>
      </c>
      <c r="I179">
        <v>6.31</v>
      </c>
      <c r="J179">
        <v>6.49</v>
      </c>
      <c r="K179">
        <v>6.63</v>
      </c>
      <c r="L179">
        <v>6.73</v>
      </c>
      <c r="M179">
        <v>7.09</v>
      </c>
      <c r="N179">
        <v>6.95</v>
      </c>
      <c r="O179" s="3"/>
      <c r="P179" s="3"/>
    </row>
    <row r="180" spans="4:16" x14ac:dyDescent="0.25">
      <c r="D180" s="2">
        <v>35325</v>
      </c>
      <c r="E180">
        <v>5.31</v>
      </c>
      <c r="F180">
        <v>5.46</v>
      </c>
      <c r="G180">
        <v>5.83</v>
      </c>
      <c r="H180">
        <v>6.22</v>
      </c>
      <c r="I180">
        <v>6.39</v>
      </c>
      <c r="J180">
        <v>6.57</v>
      </c>
      <c r="K180">
        <v>6.71</v>
      </c>
      <c r="L180">
        <v>6.81</v>
      </c>
      <c r="M180">
        <v>7.15</v>
      </c>
      <c r="N180">
        <v>7</v>
      </c>
      <c r="O180" s="3"/>
      <c r="P180" s="3"/>
    </row>
    <row r="181" spans="4:16" x14ac:dyDescent="0.25">
      <c r="D181" s="2">
        <v>35326</v>
      </c>
      <c r="E181">
        <v>5.28</v>
      </c>
      <c r="F181">
        <v>5.47</v>
      </c>
      <c r="G181">
        <v>5.84</v>
      </c>
      <c r="H181">
        <v>6.26</v>
      </c>
      <c r="I181">
        <v>6.43</v>
      </c>
      <c r="J181">
        <v>6.61</v>
      </c>
      <c r="K181">
        <v>6.73</v>
      </c>
      <c r="L181">
        <v>6.83</v>
      </c>
      <c r="M181">
        <v>7.16</v>
      </c>
      <c r="N181">
        <v>7.02</v>
      </c>
      <c r="O181" s="3"/>
      <c r="P181" s="3"/>
    </row>
    <row r="182" spans="4:16" x14ac:dyDescent="0.25">
      <c r="D182" s="2">
        <v>35327</v>
      </c>
      <c r="E182">
        <v>5.25</v>
      </c>
      <c r="F182">
        <v>5.48</v>
      </c>
      <c r="G182">
        <v>5.85</v>
      </c>
      <c r="H182">
        <v>6.29</v>
      </c>
      <c r="I182">
        <v>6.46</v>
      </c>
      <c r="J182">
        <v>6.65</v>
      </c>
      <c r="K182">
        <v>6.77</v>
      </c>
      <c r="L182">
        <v>6.87</v>
      </c>
      <c r="M182">
        <v>7.19</v>
      </c>
      <c r="N182">
        <v>7.05</v>
      </c>
      <c r="O182" s="3"/>
      <c r="P182" s="3"/>
    </row>
    <row r="183" spans="4:16" x14ac:dyDescent="0.25">
      <c r="D183" s="2">
        <v>35328</v>
      </c>
      <c r="E183">
        <v>5.29</v>
      </c>
      <c r="F183">
        <v>5.5</v>
      </c>
      <c r="G183">
        <v>5.85</v>
      </c>
      <c r="H183">
        <v>6.26</v>
      </c>
      <c r="I183">
        <v>6.43</v>
      </c>
      <c r="J183">
        <v>6.62</v>
      </c>
      <c r="K183">
        <v>6.75</v>
      </c>
      <c r="L183">
        <v>6.85</v>
      </c>
      <c r="M183">
        <v>7.18</v>
      </c>
      <c r="N183">
        <v>7.04</v>
      </c>
      <c r="O183" s="3"/>
      <c r="P183" s="3"/>
    </row>
    <row r="184" spans="4:16" x14ac:dyDescent="0.25">
      <c r="D184" s="2">
        <v>35331</v>
      </c>
      <c r="E184">
        <v>5.31</v>
      </c>
      <c r="F184">
        <v>5.5</v>
      </c>
      <c r="G184">
        <v>5.85</v>
      </c>
      <c r="H184">
        <v>6.24</v>
      </c>
      <c r="I184">
        <v>6.4</v>
      </c>
      <c r="J184">
        <v>6.6</v>
      </c>
      <c r="K184">
        <v>6.73</v>
      </c>
      <c r="L184">
        <v>6.83</v>
      </c>
      <c r="M184">
        <v>7.16</v>
      </c>
      <c r="N184">
        <v>7.02</v>
      </c>
      <c r="O184" s="3"/>
      <c r="P184" s="3"/>
    </row>
    <row r="185" spans="4:16" x14ac:dyDescent="0.25">
      <c r="D185" s="2">
        <v>35332</v>
      </c>
      <c r="E185">
        <v>5.17</v>
      </c>
      <c r="F185">
        <v>5.37</v>
      </c>
      <c r="G185">
        <v>5.73</v>
      </c>
      <c r="H185">
        <v>6.16</v>
      </c>
      <c r="I185">
        <v>6.32</v>
      </c>
      <c r="J185">
        <v>6.52</v>
      </c>
      <c r="K185">
        <v>6.67</v>
      </c>
      <c r="L185">
        <v>6.77</v>
      </c>
      <c r="M185">
        <v>7.12</v>
      </c>
      <c r="N185">
        <v>6.99</v>
      </c>
      <c r="O185" s="3"/>
      <c r="P185" s="3"/>
    </row>
    <row r="186" spans="4:16" x14ac:dyDescent="0.25">
      <c r="D186" s="2">
        <v>35333</v>
      </c>
      <c r="E186">
        <v>5.07</v>
      </c>
      <c r="F186">
        <v>5.28</v>
      </c>
      <c r="G186">
        <v>5.7</v>
      </c>
      <c r="H186">
        <v>6.08</v>
      </c>
      <c r="I186">
        <v>6.25</v>
      </c>
      <c r="J186">
        <v>6.46</v>
      </c>
      <c r="K186">
        <v>6.59</v>
      </c>
      <c r="L186">
        <v>6.71</v>
      </c>
      <c r="M186">
        <v>7.05</v>
      </c>
      <c r="N186">
        <v>6.93</v>
      </c>
      <c r="O186" s="3"/>
      <c r="P186" s="3"/>
    </row>
    <row r="187" spans="4:16" x14ac:dyDescent="0.25">
      <c r="D187" s="2">
        <v>35334</v>
      </c>
      <c r="E187">
        <v>5</v>
      </c>
      <c r="F187">
        <v>5.25</v>
      </c>
      <c r="G187">
        <v>5.65</v>
      </c>
      <c r="H187">
        <v>6.05</v>
      </c>
      <c r="I187">
        <v>6.22</v>
      </c>
      <c r="J187">
        <v>6.41</v>
      </c>
      <c r="K187">
        <v>6.54</v>
      </c>
      <c r="L187">
        <v>6.66</v>
      </c>
      <c r="M187">
        <v>7</v>
      </c>
      <c r="N187">
        <v>6.88</v>
      </c>
      <c r="O187" s="3"/>
      <c r="P187" s="3"/>
    </row>
    <row r="188" spans="4:16" x14ac:dyDescent="0.25">
      <c r="D188" s="2">
        <v>35335</v>
      </c>
      <c r="E188">
        <v>5.04</v>
      </c>
      <c r="F188">
        <v>5.24</v>
      </c>
      <c r="G188">
        <v>5.68</v>
      </c>
      <c r="H188">
        <v>6.07</v>
      </c>
      <c r="I188">
        <v>6.25</v>
      </c>
      <c r="J188">
        <v>6.43</v>
      </c>
      <c r="K188">
        <v>6.57</v>
      </c>
      <c r="L188">
        <v>6.68</v>
      </c>
      <c r="M188">
        <v>7.03</v>
      </c>
      <c r="N188">
        <v>6.91</v>
      </c>
      <c r="O188" s="3"/>
      <c r="P188" s="3"/>
    </row>
    <row r="189" spans="4:16" x14ac:dyDescent="0.25">
      <c r="D189" s="2">
        <v>35338</v>
      </c>
      <c r="E189">
        <v>5.14</v>
      </c>
      <c r="F189">
        <v>5.37</v>
      </c>
      <c r="G189">
        <v>5.71</v>
      </c>
      <c r="H189">
        <v>6.1</v>
      </c>
      <c r="I189">
        <v>6.28</v>
      </c>
      <c r="J189">
        <v>6.46</v>
      </c>
      <c r="K189">
        <v>6.6</v>
      </c>
      <c r="L189">
        <v>6.72</v>
      </c>
      <c r="M189">
        <v>7.05</v>
      </c>
      <c r="N189">
        <v>6.93</v>
      </c>
      <c r="O189" s="3"/>
      <c r="P189" s="3"/>
    </row>
    <row r="190" spans="4:16" x14ac:dyDescent="0.25">
      <c r="D190" s="2">
        <v>35339</v>
      </c>
      <c r="E190">
        <v>5.0999999999999996</v>
      </c>
      <c r="F190">
        <v>5.35</v>
      </c>
      <c r="G190">
        <v>5.65</v>
      </c>
      <c r="H190">
        <v>6.03</v>
      </c>
      <c r="I190">
        <v>6.22</v>
      </c>
      <c r="J190">
        <v>6.39</v>
      </c>
      <c r="K190">
        <v>6.54</v>
      </c>
      <c r="L190">
        <v>6.65</v>
      </c>
      <c r="M190">
        <v>6.99</v>
      </c>
      <c r="N190">
        <v>6.88</v>
      </c>
      <c r="O190" s="3"/>
      <c r="P190" s="3"/>
    </row>
    <row r="191" spans="4:16" x14ac:dyDescent="0.25">
      <c r="D191" s="2">
        <v>35340</v>
      </c>
      <c r="E191">
        <v>5.03</v>
      </c>
      <c r="F191">
        <v>5.29</v>
      </c>
      <c r="G191">
        <v>5.61</v>
      </c>
      <c r="H191">
        <v>5.98</v>
      </c>
      <c r="I191">
        <v>6.15</v>
      </c>
      <c r="J191">
        <v>6.35</v>
      </c>
      <c r="K191">
        <v>6.49</v>
      </c>
      <c r="L191">
        <v>6.61</v>
      </c>
      <c r="M191">
        <v>6.95</v>
      </c>
      <c r="N191">
        <v>6.84</v>
      </c>
      <c r="O191" s="3"/>
      <c r="P191" s="3"/>
    </row>
    <row r="192" spans="4:16" x14ac:dyDescent="0.25">
      <c r="D192" s="2">
        <v>35341</v>
      </c>
      <c r="E192">
        <v>5.04</v>
      </c>
      <c r="F192">
        <v>5.31</v>
      </c>
      <c r="G192">
        <v>5.61</v>
      </c>
      <c r="H192">
        <v>6</v>
      </c>
      <c r="I192">
        <v>6.16</v>
      </c>
      <c r="J192">
        <v>6.35</v>
      </c>
      <c r="K192">
        <v>6.49</v>
      </c>
      <c r="L192">
        <v>6.61</v>
      </c>
      <c r="M192">
        <v>6.95</v>
      </c>
      <c r="N192">
        <v>6.84</v>
      </c>
      <c r="O192" s="3"/>
      <c r="P192" s="3"/>
    </row>
    <row r="193" spans="4:16" x14ac:dyDescent="0.25">
      <c r="D193" s="2">
        <v>35342</v>
      </c>
      <c r="E193">
        <v>5.01</v>
      </c>
      <c r="F193">
        <v>5.24</v>
      </c>
      <c r="G193">
        <v>5.47</v>
      </c>
      <c r="H193">
        <v>5.85</v>
      </c>
      <c r="I193">
        <v>6</v>
      </c>
      <c r="J193">
        <v>6.2</v>
      </c>
      <c r="K193">
        <v>6.36</v>
      </c>
      <c r="L193">
        <v>6.48</v>
      </c>
      <c r="M193">
        <v>6.83</v>
      </c>
      <c r="N193">
        <v>6.74</v>
      </c>
      <c r="O193" s="3"/>
      <c r="P193" s="3"/>
    </row>
    <row r="194" spans="4:16" x14ac:dyDescent="0.25">
      <c r="D194" s="2">
        <v>35345</v>
      </c>
      <c r="E194">
        <v>5.1100000000000003</v>
      </c>
      <c r="F194">
        <v>5.29</v>
      </c>
      <c r="G194">
        <v>5.53</v>
      </c>
      <c r="H194">
        <v>5.89</v>
      </c>
      <c r="I194">
        <v>6.06</v>
      </c>
      <c r="J194">
        <v>6.25</v>
      </c>
      <c r="K194">
        <v>6.41</v>
      </c>
      <c r="L194">
        <v>6.53</v>
      </c>
      <c r="M194">
        <v>6.88</v>
      </c>
      <c r="N194">
        <v>6.78</v>
      </c>
      <c r="O194" s="3"/>
      <c r="P194" s="3"/>
    </row>
    <row r="195" spans="4:16" x14ac:dyDescent="0.25">
      <c r="D195" s="2">
        <v>35346</v>
      </c>
      <c r="E195">
        <v>5.12</v>
      </c>
      <c r="F195">
        <v>5.29</v>
      </c>
      <c r="G195">
        <v>5.53</v>
      </c>
      <c r="H195">
        <v>5.9</v>
      </c>
      <c r="I195">
        <v>6.06</v>
      </c>
      <c r="J195">
        <v>6.26</v>
      </c>
      <c r="K195">
        <v>6.42</v>
      </c>
      <c r="L195">
        <v>6.53</v>
      </c>
      <c r="M195">
        <v>6.89</v>
      </c>
      <c r="N195">
        <v>6.79</v>
      </c>
      <c r="O195" s="3"/>
      <c r="P195" s="3"/>
    </row>
    <row r="196" spans="4:16" x14ac:dyDescent="0.25">
      <c r="D196" s="2">
        <v>35347</v>
      </c>
      <c r="E196">
        <v>5.12</v>
      </c>
      <c r="F196">
        <v>5.31</v>
      </c>
      <c r="G196">
        <v>5.56</v>
      </c>
      <c r="H196">
        <v>5.96</v>
      </c>
      <c r="I196">
        <v>6.11</v>
      </c>
      <c r="J196">
        <v>6.31</v>
      </c>
      <c r="K196">
        <v>6.46</v>
      </c>
      <c r="L196">
        <v>6.55</v>
      </c>
      <c r="M196">
        <v>6.93</v>
      </c>
      <c r="N196">
        <v>6.83</v>
      </c>
      <c r="O196" s="3"/>
      <c r="P196" s="3"/>
    </row>
    <row r="197" spans="4:16" x14ac:dyDescent="0.25">
      <c r="D197" s="2">
        <v>35348</v>
      </c>
      <c r="E197">
        <v>5.15</v>
      </c>
      <c r="F197">
        <v>5.35</v>
      </c>
      <c r="G197">
        <v>5.66</v>
      </c>
      <c r="H197">
        <v>6.01</v>
      </c>
      <c r="I197">
        <v>6.17</v>
      </c>
      <c r="J197">
        <v>6.37</v>
      </c>
      <c r="K197">
        <v>6.51</v>
      </c>
      <c r="L197">
        <v>6.61</v>
      </c>
      <c r="M197">
        <v>6.98</v>
      </c>
      <c r="N197">
        <v>6.89</v>
      </c>
      <c r="O197" s="3"/>
      <c r="P197" s="3"/>
    </row>
    <row r="198" spans="4:16" x14ac:dyDescent="0.25">
      <c r="D198" s="2">
        <v>35349</v>
      </c>
      <c r="E198">
        <v>5.13</v>
      </c>
      <c r="F198">
        <v>5.31</v>
      </c>
      <c r="G198">
        <v>5.57</v>
      </c>
      <c r="H198">
        <v>5.92</v>
      </c>
      <c r="I198">
        <v>6.09</v>
      </c>
      <c r="J198">
        <v>6.29</v>
      </c>
      <c r="K198">
        <v>6.46</v>
      </c>
      <c r="L198">
        <v>6.55</v>
      </c>
      <c r="M198">
        <v>6.93</v>
      </c>
      <c r="N198">
        <v>6.84</v>
      </c>
      <c r="O198" s="3"/>
      <c r="P198" s="3"/>
    </row>
    <row r="199" spans="4:16" x14ac:dyDescent="0.25">
      <c r="D199" s="2">
        <v>35353</v>
      </c>
      <c r="E199">
        <v>5.17</v>
      </c>
      <c r="F199">
        <v>5.34</v>
      </c>
      <c r="G199">
        <v>5.58</v>
      </c>
      <c r="H199">
        <v>5.93</v>
      </c>
      <c r="I199">
        <v>6.1</v>
      </c>
      <c r="J199">
        <v>6.3</v>
      </c>
      <c r="K199">
        <v>6.46</v>
      </c>
      <c r="L199">
        <v>6.56</v>
      </c>
      <c r="M199">
        <v>6.94</v>
      </c>
      <c r="N199">
        <v>6.85</v>
      </c>
      <c r="O199" s="3"/>
      <c r="P199" s="3"/>
    </row>
    <row r="200" spans="4:16" x14ac:dyDescent="0.25">
      <c r="D200" s="2">
        <v>35354</v>
      </c>
      <c r="E200">
        <v>5.14</v>
      </c>
      <c r="F200">
        <v>5.33</v>
      </c>
      <c r="G200">
        <v>5.58</v>
      </c>
      <c r="H200">
        <v>5.94</v>
      </c>
      <c r="I200">
        <v>6.12</v>
      </c>
      <c r="J200">
        <v>6.31</v>
      </c>
      <c r="K200">
        <v>6.46</v>
      </c>
      <c r="L200">
        <v>6.57</v>
      </c>
      <c r="M200">
        <v>6.96</v>
      </c>
      <c r="N200">
        <v>6.86</v>
      </c>
      <c r="O200" s="3"/>
      <c r="P200" s="3"/>
    </row>
    <row r="201" spans="4:16" x14ac:dyDescent="0.25">
      <c r="D201" s="2">
        <v>35355</v>
      </c>
      <c r="E201">
        <v>5.12</v>
      </c>
      <c r="F201">
        <v>5.3</v>
      </c>
      <c r="G201">
        <v>5.52</v>
      </c>
      <c r="H201">
        <v>5.89</v>
      </c>
      <c r="I201">
        <v>6.06</v>
      </c>
      <c r="J201">
        <v>6.25</v>
      </c>
      <c r="K201">
        <v>6.4</v>
      </c>
      <c r="L201">
        <v>6.51</v>
      </c>
      <c r="M201">
        <v>6.89</v>
      </c>
      <c r="N201">
        <v>6.81</v>
      </c>
      <c r="O201" s="3"/>
      <c r="P201" s="3"/>
    </row>
    <row r="202" spans="4:16" x14ac:dyDescent="0.25">
      <c r="D202" s="2">
        <v>35356</v>
      </c>
      <c r="E202">
        <v>5.12</v>
      </c>
      <c r="F202">
        <v>5.31</v>
      </c>
      <c r="G202">
        <v>5.52</v>
      </c>
      <c r="H202">
        <v>5.89</v>
      </c>
      <c r="I202">
        <v>6.05</v>
      </c>
      <c r="J202">
        <v>6.25</v>
      </c>
      <c r="K202">
        <v>6.39</v>
      </c>
      <c r="L202">
        <v>6.5</v>
      </c>
      <c r="M202">
        <v>6.88</v>
      </c>
      <c r="N202">
        <v>6.79</v>
      </c>
      <c r="O202" s="3"/>
      <c r="P202" s="3"/>
    </row>
    <row r="203" spans="4:16" x14ac:dyDescent="0.25">
      <c r="D203" s="2">
        <v>35359</v>
      </c>
      <c r="E203">
        <v>5.14</v>
      </c>
      <c r="F203">
        <v>5.34</v>
      </c>
      <c r="G203">
        <v>5.55</v>
      </c>
      <c r="H203">
        <v>5.91</v>
      </c>
      <c r="I203">
        <v>6.07</v>
      </c>
      <c r="J203">
        <v>6.27</v>
      </c>
      <c r="K203">
        <v>6.41</v>
      </c>
      <c r="L203">
        <v>6.52</v>
      </c>
      <c r="M203">
        <v>6.89</v>
      </c>
      <c r="N203">
        <v>6.81</v>
      </c>
      <c r="O203" s="3"/>
      <c r="P203" s="3"/>
    </row>
    <row r="204" spans="4:16" x14ac:dyDescent="0.25">
      <c r="D204" s="2">
        <v>35360</v>
      </c>
      <c r="E204">
        <v>5.16</v>
      </c>
      <c r="F204">
        <v>5.35</v>
      </c>
      <c r="G204">
        <v>5.57</v>
      </c>
      <c r="H204">
        <v>5.95</v>
      </c>
      <c r="I204">
        <v>6.12</v>
      </c>
      <c r="J204">
        <v>6.31</v>
      </c>
      <c r="K204">
        <v>6.45</v>
      </c>
      <c r="L204">
        <v>6.56</v>
      </c>
      <c r="M204">
        <v>6.93</v>
      </c>
      <c r="N204">
        <v>6.85</v>
      </c>
      <c r="O204" s="3"/>
      <c r="P204" s="3"/>
    </row>
    <row r="205" spans="4:16" x14ac:dyDescent="0.25">
      <c r="D205" s="2">
        <v>35361</v>
      </c>
      <c r="E205">
        <v>5.13</v>
      </c>
      <c r="F205">
        <v>5.34</v>
      </c>
      <c r="G205">
        <v>5.56</v>
      </c>
      <c r="H205">
        <v>5.94</v>
      </c>
      <c r="I205">
        <v>6.11</v>
      </c>
      <c r="J205">
        <v>6.31</v>
      </c>
      <c r="K205">
        <v>6.45</v>
      </c>
      <c r="L205">
        <v>6.56</v>
      </c>
      <c r="M205">
        <v>6.92</v>
      </c>
      <c r="N205">
        <v>6.84</v>
      </c>
      <c r="O205" s="3"/>
      <c r="P205" s="3"/>
    </row>
    <row r="206" spans="4:16" x14ac:dyDescent="0.25">
      <c r="D206" s="2">
        <v>35362</v>
      </c>
      <c r="E206">
        <v>5.14</v>
      </c>
      <c r="F206">
        <v>5.34</v>
      </c>
      <c r="G206">
        <v>5.56</v>
      </c>
      <c r="H206">
        <v>5.94</v>
      </c>
      <c r="I206">
        <v>6.1</v>
      </c>
      <c r="J206">
        <v>6.29</v>
      </c>
      <c r="K206">
        <v>6.45</v>
      </c>
      <c r="L206">
        <v>6.57</v>
      </c>
      <c r="M206">
        <v>6.94</v>
      </c>
      <c r="N206">
        <v>6.85</v>
      </c>
      <c r="O206" s="3"/>
      <c r="P206" s="3"/>
    </row>
    <row r="207" spans="4:16" x14ac:dyDescent="0.25">
      <c r="D207" s="2">
        <v>35363</v>
      </c>
      <c r="E207">
        <v>5.14</v>
      </c>
      <c r="F207">
        <v>5.33</v>
      </c>
      <c r="G207">
        <v>5.55</v>
      </c>
      <c r="H207">
        <v>5.9</v>
      </c>
      <c r="I207">
        <v>6.07</v>
      </c>
      <c r="J207">
        <v>6.26</v>
      </c>
      <c r="K207">
        <v>6.42</v>
      </c>
      <c r="L207">
        <v>6.54</v>
      </c>
      <c r="M207">
        <v>6.9</v>
      </c>
      <c r="N207">
        <v>6.82</v>
      </c>
      <c r="O207" s="3"/>
      <c r="P207" s="3"/>
    </row>
    <row r="208" spans="4:16" x14ac:dyDescent="0.25">
      <c r="D208" s="2">
        <v>35366</v>
      </c>
      <c r="E208">
        <v>5.19</v>
      </c>
      <c r="F208">
        <v>5.34</v>
      </c>
      <c r="G208">
        <v>5.56</v>
      </c>
      <c r="H208">
        <v>5.92</v>
      </c>
      <c r="I208">
        <v>6.1</v>
      </c>
      <c r="J208">
        <v>6.29</v>
      </c>
      <c r="K208">
        <v>6.43</v>
      </c>
      <c r="L208">
        <v>6.56</v>
      </c>
      <c r="M208">
        <v>6.91</v>
      </c>
      <c r="N208">
        <v>6.83</v>
      </c>
      <c r="O208" s="3"/>
      <c r="P208" s="3"/>
    </row>
    <row r="209" spans="4:16" x14ac:dyDescent="0.25">
      <c r="D209" s="2">
        <v>35367</v>
      </c>
      <c r="E209">
        <v>5.14</v>
      </c>
      <c r="F209">
        <v>5.3</v>
      </c>
      <c r="G209">
        <v>5.46</v>
      </c>
      <c r="H209">
        <v>5.77</v>
      </c>
      <c r="I209">
        <v>5.94</v>
      </c>
      <c r="J209">
        <v>6.12</v>
      </c>
      <c r="K209">
        <v>6.27</v>
      </c>
      <c r="L209">
        <v>6.4</v>
      </c>
      <c r="M209">
        <v>6.77</v>
      </c>
      <c r="N209">
        <v>6.7</v>
      </c>
      <c r="O209" s="3"/>
      <c r="P209" s="3"/>
    </row>
    <row r="210" spans="4:16" x14ac:dyDescent="0.25">
      <c r="D210" s="2">
        <v>35368</v>
      </c>
      <c r="E210">
        <v>5.14</v>
      </c>
      <c r="F210">
        <v>5.3</v>
      </c>
      <c r="G210">
        <v>5.46</v>
      </c>
      <c r="H210">
        <v>5.79</v>
      </c>
      <c r="I210">
        <v>5.95</v>
      </c>
      <c r="J210">
        <v>6.12</v>
      </c>
      <c r="K210">
        <v>6.27</v>
      </c>
      <c r="L210">
        <v>6.4</v>
      </c>
      <c r="M210">
        <v>6.77</v>
      </c>
      <c r="N210">
        <v>6.69</v>
      </c>
      <c r="O210" s="3"/>
      <c r="P210" s="3"/>
    </row>
    <row r="211" spans="4:16" x14ac:dyDescent="0.25">
      <c r="D211" s="2">
        <v>35369</v>
      </c>
      <c r="E211">
        <v>5.17</v>
      </c>
      <c r="F211">
        <v>5.3</v>
      </c>
      <c r="G211">
        <v>5.44</v>
      </c>
      <c r="H211">
        <v>5.77</v>
      </c>
      <c r="I211">
        <v>5.92</v>
      </c>
      <c r="J211">
        <v>6.1</v>
      </c>
      <c r="K211">
        <v>6.24</v>
      </c>
      <c r="L211">
        <v>6.37</v>
      </c>
      <c r="M211">
        <v>6.74</v>
      </c>
      <c r="N211">
        <v>6.66</v>
      </c>
      <c r="O211" s="3"/>
      <c r="P211" s="3"/>
    </row>
    <row r="212" spans="4:16" x14ac:dyDescent="0.25">
      <c r="D212" s="2">
        <v>35370</v>
      </c>
      <c r="E212">
        <v>5.17</v>
      </c>
      <c r="F212">
        <v>5.3</v>
      </c>
      <c r="G212">
        <v>5.46</v>
      </c>
      <c r="H212">
        <v>5.79</v>
      </c>
      <c r="I212">
        <v>5.93</v>
      </c>
      <c r="J212">
        <v>6.11</v>
      </c>
      <c r="K212">
        <v>6.26</v>
      </c>
      <c r="L212">
        <v>6.38</v>
      </c>
      <c r="M212">
        <v>6.75</v>
      </c>
      <c r="N212">
        <v>6.68</v>
      </c>
      <c r="O212" s="3"/>
      <c r="P212" s="3"/>
    </row>
    <row r="213" spans="4:16" x14ac:dyDescent="0.25">
      <c r="D213" s="2">
        <v>35373</v>
      </c>
      <c r="E213">
        <v>5.19</v>
      </c>
      <c r="F213">
        <v>5.3</v>
      </c>
      <c r="G213">
        <v>5.46</v>
      </c>
      <c r="H213">
        <v>5.78</v>
      </c>
      <c r="I213">
        <v>5.92</v>
      </c>
      <c r="J213">
        <v>6.1</v>
      </c>
      <c r="K213">
        <v>6.23</v>
      </c>
      <c r="L213">
        <v>6.36</v>
      </c>
      <c r="M213">
        <v>6.74</v>
      </c>
      <c r="N213">
        <v>6.67</v>
      </c>
      <c r="O213" s="3"/>
      <c r="P213" s="3"/>
    </row>
    <row r="214" spans="4:16" x14ac:dyDescent="0.25">
      <c r="D214" s="2">
        <v>35374</v>
      </c>
      <c r="E214">
        <v>5.17</v>
      </c>
      <c r="F214">
        <v>5.27</v>
      </c>
      <c r="G214">
        <v>5.43</v>
      </c>
      <c r="H214">
        <v>5.74</v>
      </c>
      <c r="I214">
        <v>5.86</v>
      </c>
      <c r="J214">
        <v>6.03</v>
      </c>
      <c r="K214">
        <v>6.16</v>
      </c>
      <c r="L214">
        <v>6.28</v>
      </c>
      <c r="M214">
        <v>6.66</v>
      </c>
      <c r="N214">
        <v>6.6</v>
      </c>
      <c r="O214" s="3"/>
      <c r="P214" s="3"/>
    </row>
    <row r="215" spans="4:16" x14ac:dyDescent="0.25">
      <c r="D215" s="2">
        <v>35375</v>
      </c>
      <c r="E215">
        <v>5.17</v>
      </c>
      <c r="F215">
        <v>5.28</v>
      </c>
      <c r="G215">
        <v>5.44</v>
      </c>
      <c r="H215">
        <v>5.76</v>
      </c>
      <c r="I215">
        <v>5.9</v>
      </c>
      <c r="J215">
        <v>6.05</v>
      </c>
      <c r="K215">
        <v>6.18</v>
      </c>
      <c r="L215">
        <v>6.3</v>
      </c>
      <c r="M215">
        <v>6.67</v>
      </c>
      <c r="N215">
        <v>6.61</v>
      </c>
      <c r="O215" s="3"/>
      <c r="P215" s="3"/>
    </row>
    <row r="216" spans="4:16" x14ac:dyDescent="0.25">
      <c r="D216" s="2">
        <v>35376</v>
      </c>
      <c r="E216">
        <v>5.16</v>
      </c>
      <c r="F216">
        <v>5.28</v>
      </c>
      <c r="G216">
        <v>5.44</v>
      </c>
      <c r="H216">
        <v>5.75</v>
      </c>
      <c r="I216">
        <v>5.87</v>
      </c>
      <c r="J216">
        <v>6.01</v>
      </c>
      <c r="K216">
        <v>6.12</v>
      </c>
      <c r="L216">
        <v>6.26</v>
      </c>
      <c r="M216">
        <v>6.61</v>
      </c>
      <c r="N216">
        <v>6.48</v>
      </c>
      <c r="O216" s="3"/>
      <c r="P216" s="3"/>
    </row>
    <row r="217" spans="4:16" x14ac:dyDescent="0.25">
      <c r="D217" s="2">
        <v>35377</v>
      </c>
      <c r="E217">
        <v>5.18</v>
      </c>
      <c r="F217">
        <v>5.29</v>
      </c>
      <c r="G217">
        <v>5.45</v>
      </c>
      <c r="H217">
        <v>5.76</v>
      </c>
      <c r="I217">
        <v>5.88</v>
      </c>
      <c r="J217">
        <v>6.04</v>
      </c>
      <c r="K217">
        <v>6.16</v>
      </c>
      <c r="L217">
        <v>6.29</v>
      </c>
      <c r="M217">
        <v>6.63</v>
      </c>
      <c r="N217">
        <v>6.51</v>
      </c>
      <c r="O217" s="3"/>
      <c r="P217" s="3"/>
    </row>
    <row r="218" spans="4:16" x14ac:dyDescent="0.25">
      <c r="D218" s="2">
        <v>35381</v>
      </c>
      <c r="E218">
        <v>5.18</v>
      </c>
      <c r="F218">
        <v>5.29</v>
      </c>
      <c r="G218">
        <v>5.43</v>
      </c>
      <c r="H218">
        <v>5.73</v>
      </c>
      <c r="I218">
        <v>5.84</v>
      </c>
      <c r="J218">
        <v>5.98</v>
      </c>
      <c r="K218">
        <v>6.09</v>
      </c>
      <c r="L218">
        <v>6.19</v>
      </c>
      <c r="M218">
        <v>6.56</v>
      </c>
      <c r="N218">
        <v>6.44</v>
      </c>
      <c r="O218" s="3"/>
      <c r="P218" s="3"/>
    </row>
    <row r="219" spans="4:16" x14ac:dyDescent="0.25">
      <c r="D219" s="2">
        <v>35382</v>
      </c>
      <c r="E219">
        <v>5.17</v>
      </c>
      <c r="F219">
        <v>5.28</v>
      </c>
      <c r="G219">
        <v>5.42</v>
      </c>
      <c r="H219">
        <v>5.71</v>
      </c>
      <c r="I219">
        <v>5.84</v>
      </c>
      <c r="J219">
        <v>5.99</v>
      </c>
      <c r="K219">
        <v>6.1</v>
      </c>
      <c r="L219">
        <v>6.2</v>
      </c>
      <c r="M219">
        <v>6.58</v>
      </c>
      <c r="N219">
        <v>6.46</v>
      </c>
      <c r="O219" s="3"/>
      <c r="P219" s="3"/>
    </row>
    <row r="220" spans="4:16" x14ac:dyDescent="0.25">
      <c r="D220" s="2">
        <v>35383</v>
      </c>
      <c r="E220">
        <v>5.17</v>
      </c>
      <c r="F220">
        <v>5.27</v>
      </c>
      <c r="G220">
        <v>5.4</v>
      </c>
      <c r="H220">
        <v>5.66</v>
      </c>
      <c r="I220">
        <v>5.77</v>
      </c>
      <c r="J220">
        <v>5.93</v>
      </c>
      <c r="K220">
        <v>6.05</v>
      </c>
      <c r="L220">
        <v>6.15</v>
      </c>
      <c r="M220">
        <v>6.53</v>
      </c>
      <c r="N220">
        <v>6.42</v>
      </c>
      <c r="O220" s="3"/>
      <c r="P220" s="3"/>
    </row>
    <row r="221" spans="4:16" x14ac:dyDescent="0.25">
      <c r="D221" s="2">
        <v>35384</v>
      </c>
      <c r="E221">
        <v>5.16</v>
      </c>
      <c r="F221">
        <v>5.26</v>
      </c>
      <c r="G221">
        <v>5.4</v>
      </c>
      <c r="H221">
        <v>5.68</v>
      </c>
      <c r="I221">
        <v>5.79</v>
      </c>
      <c r="J221">
        <v>5.96</v>
      </c>
      <c r="K221">
        <v>6.09</v>
      </c>
      <c r="L221">
        <v>6.19</v>
      </c>
      <c r="M221">
        <v>6.55</v>
      </c>
      <c r="N221">
        <v>6.46</v>
      </c>
      <c r="O221" s="3"/>
      <c r="P221" s="3"/>
    </row>
    <row r="222" spans="4:16" x14ac:dyDescent="0.25">
      <c r="D222" s="2">
        <v>35387</v>
      </c>
      <c r="E222">
        <v>5.18</v>
      </c>
      <c r="F222">
        <v>5.27</v>
      </c>
      <c r="G222">
        <v>5.41</v>
      </c>
      <c r="H222">
        <v>5.7</v>
      </c>
      <c r="I222">
        <v>5.81</v>
      </c>
      <c r="J222">
        <v>5.97</v>
      </c>
      <c r="K222">
        <v>6.1</v>
      </c>
      <c r="L222">
        <v>6.2</v>
      </c>
      <c r="M222">
        <v>6.56</v>
      </c>
      <c r="N222">
        <v>6.46</v>
      </c>
      <c r="O222" s="3"/>
      <c r="P222" s="3"/>
    </row>
    <row r="223" spans="4:16" x14ac:dyDescent="0.25">
      <c r="D223" s="2">
        <v>35388</v>
      </c>
      <c r="E223">
        <v>5.17</v>
      </c>
      <c r="F223">
        <v>5.26</v>
      </c>
      <c r="G223">
        <v>5.4</v>
      </c>
      <c r="H223">
        <v>5.68</v>
      </c>
      <c r="I223">
        <v>5.78</v>
      </c>
      <c r="J223">
        <v>5.94</v>
      </c>
      <c r="K223">
        <v>6.07</v>
      </c>
      <c r="L223">
        <v>6.17</v>
      </c>
      <c r="M223">
        <v>6.53</v>
      </c>
      <c r="N223">
        <v>6.44</v>
      </c>
      <c r="O223" s="3"/>
      <c r="P223" s="3"/>
    </row>
    <row r="224" spans="4:16" x14ac:dyDescent="0.25">
      <c r="D224" s="2">
        <v>35389</v>
      </c>
      <c r="E224">
        <v>5.17</v>
      </c>
      <c r="F224">
        <v>5.26</v>
      </c>
      <c r="G224">
        <v>5.4</v>
      </c>
      <c r="H224">
        <v>5.65</v>
      </c>
      <c r="I224">
        <v>5.77</v>
      </c>
      <c r="J224">
        <v>5.92</v>
      </c>
      <c r="K224">
        <v>6.04</v>
      </c>
      <c r="L224">
        <v>6.14</v>
      </c>
      <c r="M224">
        <v>6.5</v>
      </c>
      <c r="N224">
        <v>6.41</v>
      </c>
      <c r="O224" s="3"/>
      <c r="P224" s="3"/>
    </row>
    <row r="225" spans="4:16" x14ac:dyDescent="0.25">
      <c r="D225" s="2">
        <v>35390</v>
      </c>
      <c r="E225">
        <v>5.18</v>
      </c>
      <c r="F225">
        <v>5.26</v>
      </c>
      <c r="G225">
        <v>5.43</v>
      </c>
      <c r="H225">
        <v>5.67</v>
      </c>
      <c r="I225">
        <v>5.78</v>
      </c>
      <c r="J225">
        <v>5.94</v>
      </c>
      <c r="K225">
        <v>6.05</v>
      </c>
      <c r="L225">
        <v>6.15</v>
      </c>
      <c r="M225">
        <v>6.52</v>
      </c>
      <c r="N225">
        <v>6.42</v>
      </c>
      <c r="O225" s="3"/>
      <c r="P225" s="3"/>
    </row>
    <row r="226" spans="4:16" x14ac:dyDescent="0.25">
      <c r="D226" s="2">
        <v>35391</v>
      </c>
      <c r="E226">
        <v>5.18</v>
      </c>
      <c r="F226">
        <v>5.27</v>
      </c>
      <c r="G226">
        <v>5.44</v>
      </c>
      <c r="H226">
        <v>5.69</v>
      </c>
      <c r="I226">
        <v>5.8</v>
      </c>
      <c r="J226">
        <v>5.94</v>
      </c>
      <c r="K226">
        <v>6.05</v>
      </c>
      <c r="L226">
        <v>6.15</v>
      </c>
      <c r="M226">
        <v>6.54</v>
      </c>
      <c r="N226">
        <v>6.44</v>
      </c>
      <c r="O226" s="3"/>
      <c r="P226" s="3"/>
    </row>
    <row r="227" spans="4:16" x14ac:dyDescent="0.25">
      <c r="D227" s="2">
        <v>35394</v>
      </c>
      <c r="E227">
        <v>5.18</v>
      </c>
      <c r="F227">
        <v>5.28</v>
      </c>
      <c r="G227">
        <v>5.43</v>
      </c>
      <c r="H227">
        <v>5.67</v>
      </c>
      <c r="I227">
        <v>5.77</v>
      </c>
      <c r="J227">
        <v>5.92</v>
      </c>
      <c r="K227">
        <v>6.04</v>
      </c>
      <c r="L227">
        <v>6.13</v>
      </c>
      <c r="M227">
        <v>6.53</v>
      </c>
      <c r="N227">
        <v>6.42</v>
      </c>
      <c r="O227" s="3"/>
      <c r="P227" s="3"/>
    </row>
    <row r="228" spans="4:16" x14ac:dyDescent="0.25">
      <c r="D228" s="2">
        <v>35395</v>
      </c>
      <c r="E228">
        <v>5.16</v>
      </c>
      <c r="F228">
        <v>5.27</v>
      </c>
      <c r="G228">
        <v>5.41</v>
      </c>
      <c r="H228">
        <v>5.66</v>
      </c>
      <c r="I228">
        <v>5.77</v>
      </c>
      <c r="J228">
        <v>5.91</v>
      </c>
      <c r="K228">
        <v>6.04</v>
      </c>
      <c r="L228">
        <v>6.13</v>
      </c>
      <c r="M228">
        <v>6.52</v>
      </c>
      <c r="N228">
        <v>6.43</v>
      </c>
      <c r="O228" s="3"/>
      <c r="P228" s="3"/>
    </row>
    <row r="229" spans="4:16" x14ac:dyDescent="0.25">
      <c r="D229" s="2">
        <v>35396</v>
      </c>
      <c r="E229">
        <v>5.15</v>
      </c>
      <c r="F229">
        <v>5.26</v>
      </c>
      <c r="G229">
        <v>5.41</v>
      </c>
      <c r="H229">
        <v>5.66</v>
      </c>
      <c r="I229">
        <v>5.77</v>
      </c>
      <c r="J229">
        <v>5.91</v>
      </c>
      <c r="K229">
        <v>6.05</v>
      </c>
      <c r="L229">
        <v>6.14</v>
      </c>
      <c r="M229">
        <v>6.53</v>
      </c>
      <c r="N229">
        <v>6.44</v>
      </c>
      <c r="O229" s="3"/>
      <c r="P229" s="3"/>
    </row>
    <row r="230" spans="4:16" x14ac:dyDescent="0.25">
      <c r="D230" s="2">
        <v>35398</v>
      </c>
      <c r="E230">
        <v>5.13</v>
      </c>
      <c r="F230">
        <v>5.25</v>
      </c>
      <c r="G230">
        <v>5.38</v>
      </c>
      <c r="H230">
        <v>5.59</v>
      </c>
      <c r="I230">
        <v>5.7</v>
      </c>
      <c r="J230">
        <v>5.84</v>
      </c>
      <c r="K230">
        <v>5.97</v>
      </c>
      <c r="L230">
        <v>6.06</v>
      </c>
      <c r="M230">
        <v>6.45</v>
      </c>
      <c r="N230">
        <v>6.36</v>
      </c>
      <c r="O230" s="3"/>
      <c r="P230" s="3"/>
    </row>
    <row r="231" spans="4:16" x14ac:dyDescent="0.25">
      <c r="D231" s="2">
        <v>35401</v>
      </c>
      <c r="E231">
        <v>5.08</v>
      </c>
      <c r="F231">
        <v>5.24</v>
      </c>
      <c r="G231">
        <v>5.4</v>
      </c>
      <c r="H231">
        <v>5.61</v>
      </c>
      <c r="I231">
        <v>5.72</v>
      </c>
      <c r="J231">
        <v>5.85</v>
      </c>
      <c r="K231">
        <v>5.97</v>
      </c>
      <c r="L231">
        <v>6.08</v>
      </c>
      <c r="M231">
        <v>6.46</v>
      </c>
      <c r="N231">
        <v>6.36</v>
      </c>
      <c r="O231" s="3"/>
      <c r="P231" s="3"/>
    </row>
    <row r="232" spans="4:16" x14ac:dyDescent="0.25">
      <c r="D232" s="2">
        <v>35402</v>
      </c>
      <c r="E232">
        <v>5.05</v>
      </c>
      <c r="F232">
        <v>5.22</v>
      </c>
      <c r="G232">
        <v>5.39</v>
      </c>
      <c r="H232">
        <v>5.61</v>
      </c>
      <c r="I232">
        <v>5.7</v>
      </c>
      <c r="J232">
        <v>5.84</v>
      </c>
      <c r="K232">
        <v>5.95</v>
      </c>
      <c r="L232">
        <v>6.06</v>
      </c>
      <c r="M232">
        <v>6.44</v>
      </c>
      <c r="N232">
        <v>6.35</v>
      </c>
      <c r="O232" s="3"/>
      <c r="P232" s="3"/>
    </row>
    <row r="233" spans="4:16" x14ac:dyDescent="0.25">
      <c r="D233" s="2">
        <v>35403</v>
      </c>
      <c r="E233">
        <v>5.03</v>
      </c>
      <c r="F233">
        <v>5.2</v>
      </c>
      <c r="G233">
        <v>5.41</v>
      </c>
      <c r="H233">
        <v>5.64</v>
      </c>
      <c r="I233">
        <v>5.75</v>
      </c>
      <c r="J233">
        <v>5.89</v>
      </c>
      <c r="K233">
        <v>6.01</v>
      </c>
      <c r="L233">
        <v>6.11</v>
      </c>
      <c r="M233">
        <v>6.49</v>
      </c>
      <c r="N233">
        <v>6.4</v>
      </c>
      <c r="O233" s="3"/>
      <c r="P233" s="3"/>
    </row>
    <row r="234" spans="4:16" x14ac:dyDescent="0.25">
      <c r="D234" s="2">
        <v>35404</v>
      </c>
      <c r="E234">
        <v>5.04</v>
      </c>
      <c r="F234">
        <v>5.22</v>
      </c>
      <c r="G234">
        <v>5.44</v>
      </c>
      <c r="H234">
        <v>5.71</v>
      </c>
      <c r="I234">
        <v>5.82</v>
      </c>
      <c r="J234">
        <v>5.99</v>
      </c>
      <c r="K234">
        <v>6.12</v>
      </c>
      <c r="L234">
        <v>6.22</v>
      </c>
      <c r="M234">
        <v>6.6</v>
      </c>
      <c r="N234">
        <v>6.5</v>
      </c>
      <c r="O234" s="3"/>
      <c r="P234" s="3"/>
    </row>
    <row r="235" spans="4:16" x14ac:dyDescent="0.25">
      <c r="D235" s="2">
        <v>35405</v>
      </c>
      <c r="E235">
        <v>5.03</v>
      </c>
      <c r="F235">
        <v>5.23</v>
      </c>
      <c r="G235">
        <v>5.45</v>
      </c>
      <c r="H235">
        <v>5.73</v>
      </c>
      <c r="I235">
        <v>5.84</v>
      </c>
      <c r="J235">
        <v>6.02</v>
      </c>
      <c r="K235">
        <v>6.16</v>
      </c>
      <c r="L235">
        <v>6.26</v>
      </c>
      <c r="M235">
        <v>6.62</v>
      </c>
      <c r="N235">
        <v>6.53</v>
      </c>
      <c r="O235" s="3"/>
      <c r="P235" s="3"/>
    </row>
    <row r="236" spans="4:16" x14ac:dyDescent="0.25">
      <c r="D236" s="2">
        <v>35408</v>
      </c>
      <c r="E236">
        <v>4.96</v>
      </c>
      <c r="F236">
        <v>5.18</v>
      </c>
      <c r="G236">
        <v>5.43</v>
      </c>
      <c r="H236">
        <v>5.7</v>
      </c>
      <c r="I236">
        <v>5.81</v>
      </c>
      <c r="J236">
        <v>5.97</v>
      </c>
      <c r="K236">
        <v>6.11</v>
      </c>
      <c r="L236">
        <v>6.21</v>
      </c>
      <c r="M236">
        <v>6.58</v>
      </c>
      <c r="N236">
        <v>6.48</v>
      </c>
      <c r="O236" s="3"/>
      <c r="P236" s="3"/>
    </row>
    <row r="237" spans="4:16" x14ac:dyDescent="0.25">
      <c r="D237" s="2">
        <v>35409</v>
      </c>
      <c r="E237">
        <v>4.96</v>
      </c>
      <c r="F237">
        <v>5.19</v>
      </c>
      <c r="G237">
        <v>5.43</v>
      </c>
      <c r="H237">
        <v>5.71</v>
      </c>
      <c r="I237">
        <v>5.83</v>
      </c>
      <c r="J237">
        <v>5.99</v>
      </c>
      <c r="K237">
        <v>6.12</v>
      </c>
      <c r="L237">
        <v>6.23</v>
      </c>
      <c r="M237">
        <v>6.59</v>
      </c>
      <c r="N237">
        <v>6.49</v>
      </c>
      <c r="O237" s="3"/>
      <c r="P237" s="3"/>
    </row>
    <row r="238" spans="4:16" x14ac:dyDescent="0.25">
      <c r="D238" s="2">
        <v>35410</v>
      </c>
      <c r="E238">
        <v>4.96</v>
      </c>
      <c r="F238">
        <v>5.22</v>
      </c>
      <c r="G238">
        <v>5.49</v>
      </c>
      <c r="H238">
        <v>5.82</v>
      </c>
      <c r="I238">
        <v>5.95</v>
      </c>
      <c r="J238">
        <v>6.14</v>
      </c>
      <c r="K238">
        <v>6.28</v>
      </c>
      <c r="L238">
        <v>6.38</v>
      </c>
      <c r="M238">
        <v>6.71</v>
      </c>
      <c r="N238">
        <v>6.61</v>
      </c>
      <c r="O238" s="3"/>
      <c r="P238" s="3"/>
    </row>
    <row r="239" spans="4:16" x14ac:dyDescent="0.25">
      <c r="D239" s="2">
        <v>35411</v>
      </c>
      <c r="E239">
        <v>4.97</v>
      </c>
      <c r="F239">
        <v>5.2</v>
      </c>
      <c r="G239">
        <v>5.49</v>
      </c>
      <c r="H239">
        <v>5.84</v>
      </c>
      <c r="I239">
        <v>5.98</v>
      </c>
      <c r="J239">
        <v>6.14</v>
      </c>
      <c r="K239">
        <v>6.3</v>
      </c>
      <c r="L239">
        <v>6.4</v>
      </c>
      <c r="M239">
        <v>6.74</v>
      </c>
      <c r="N239">
        <v>6.64</v>
      </c>
      <c r="O239" s="3"/>
      <c r="P239" s="3"/>
    </row>
    <row r="240" spans="4:16" x14ac:dyDescent="0.25">
      <c r="D240" s="2">
        <v>35412</v>
      </c>
      <c r="E240">
        <v>4.92</v>
      </c>
      <c r="F240">
        <v>5.2</v>
      </c>
      <c r="G240">
        <v>5.46</v>
      </c>
      <c r="H240">
        <v>5.77</v>
      </c>
      <c r="I240">
        <v>5.89</v>
      </c>
      <c r="J240">
        <v>6.06</v>
      </c>
      <c r="K240">
        <v>6.22</v>
      </c>
      <c r="L240">
        <v>6.33</v>
      </c>
      <c r="M240">
        <v>6.68</v>
      </c>
      <c r="N240">
        <v>6.58</v>
      </c>
      <c r="O240" s="3"/>
      <c r="P240" s="3"/>
    </row>
    <row r="241" spans="4:16" x14ac:dyDescent="0.25">
      <c r="D241" s="2">
        <v>35415</v>
      </c>
      <c r="E241">
        <v>4.97</v>
      </c>
      <c r="F241">
        <v>5.22</v>
      </c>
      <c r="G241">
        <v>5.49</v>
      </c>
      <c r="H241">
        <v>5.82</v>
      </c>
      <c r="I241">
        <v>5.95</v>
      </c>
      <c r="J241">
        <v>6.13</v>
      </c>
      <c r="K241">
        <v>6.27</v>
      </c>
      <c r="L241">
        <v>6.39</v>
      </c>
      <c r="M241">
        <v>6.72</v>
      </c>
      <c r="N241">
        <v>6.63</v>
      </c>
      <c r="O241" s="3"/>
      <c r="P241" s="3"/>
    </row>
    <row r="242" spans="4:16" x14ac:dyDescent="0.25">
      <c r="D242" s="2">
        <v>35416</v>
      </c>
      <c r="E242">
        <v>5</v>
      </c>
      <c r="F242">
        <v>5.27</v>
      </c>
      <c r="G242">
        <v>5.51</v>
      </c>
      <c r="H242">
        <v>5.87</v>
      </c>
      <c r="I242">
        <v>5.99</v>
      </c>
      <c r="J242">
        <v>6.17</v>
      </c>
      <c r="K242">
        <v>6.31</v>
      </c>
      <c r="L242">
        <v>6.42</v>
      </c>
      <c r="M242">
        <v>6.76</v>
      </c>
      <c r="N242">
        <v>6.66</v>
      </c>
      <c r="O242" s="3"/>
      <c r="P242" s="3"/>
    </row>
    <row r="243" spans="4:16" x14ac:dyDescent="0.25">
      <c r="D243" s="2">
        <v>35417</v>
      </c>
      <c r="E243">
        <v>5.03</v>
      </c>
      <c r="F243">
        <v>5.28</v>
      </c>
      <c r="G243">
        <v>5.55</v>
      </c>
      <c r="H243">
        <v>5.89</v>
      </c>
      <c r="I243">
        <v>6.04</v>
      </c>
      <c r="J243">
        <v>6.21</v>
      </c>
      <c r="K243">
        <v>6.36</v>
      </c>
      <c r="L243">
        <v>6.46</v>
      </c>
      <c r="M243">
        <v>6.8</v>
      </c>
      <c r="N243">
        <v>6.69</v>
      </c>
      <c r="O243" s="3"/>
      <c r="P243" s="3"/>
    </row>
    <row r="244" spans="4:16" x14ac:dyDescent="0.25">
      <c r="D244" s="2">
        <v>35418</v>
      </c>
      <c r="E244">
        <v>5.01</v>
      </c>
      <c r="F244">
        <v>5.25</v>
      </c>
      <c r="G244">
        <v>5.5</v>
      </c>
      <c r="H244">
        <v>5.83</v>
      </c>
      <c r="I244">
        <v>5.97</v>
      </c>
      <c r="J244">
        <v>6.13</v>
      </c>
      <c r="K244">
        <v>6.25</v>
      </c>
      <c r="L244">
        <v>6.36</v>
      </c>
      <c r="M244">
        <v>6.69</v>
      </c>
      <c r="N244">
        <v>6.6</v>
      </c>
      <c r="O244" s="3"/>
      <c r="P244" s="3"/>
    </row>
    <row r="245" spans="4:16" x14ac:dyDescent="0.25">
      <c r="D245" s="2">
        <v>35419</v>
      </c>
      <c r="E245">
        <v>5.0199999999999996</v>
      </c>
      <c r="F245">
        <v>5.26</v>
      </c>
      <c r="G245">
        <v>5.49</v>
      </c>
      <c r="H245">
        <v>5.83</v>
      </c>
      <c r="I245">
        <v>5.95</v>
      </c>
      <c r="J245">
        <v>6.12</v>
      </c>
      <c r="K245">
        <v>6.25</v>
      </c>
      <c r="L245">
        <v>6.35</v>
      </c>
      <c r="M245">
        <v>6.69</v>
      </c>
      <c r="N245">
        <v>6.59</v>
      </c>
      <c r="O245" s="3"/>
      <c r="P245" s="3"/>
    </row>
    <row r="246" spans="4:16" x14ac:dyDescent="0.25">
      <c r="D246" s="2">
        <v>35422</v>
      </c>
      <c r="E246">
        <v>5.0999999999999996</v>
      </c>
      <c r="F246">
        <v>5.29</v>
      </c>
      <c r="G246">
        <v>5.52</v>
      </c>
      <c r="H246">
        <v>5.85</v>
      </c>
      <c r="I246">
        <v>5.97</v>
      </c>
      <c r="J246">
        <v>6.12</v>
      </c>
      <c r="K246">
        <v>6.24</v>
      </c>
      <c r="L246">
        <v>6.34</v>
      </c>
      <c r="M246">
        <v>6.67</v>
      </c>
      <c r="N246">
        <v>6.58</v>
      </c>
      <c r="O246" s="3"/>
      <c r="P246" s="3"/>
    </row>
    <row r="247" spans="4:16" x14ac:dyDescent="0.25">
      <c r="D247" s="2">
        <v>35423</v>
      </c>
      <c r="E247">
        <v>5.09</v>
      </c>
      <c r="F247">
        <v>5.27</v>
      </c>
      <c r="G247">
        <v>5.51</v>
      </c>
      <c r="H247">
        <v>5.85</v>
      </c>
      <c r="I247">
        <v>5.98</v>
      </c>
      <c r="J247">
        <v>6.13</v>
      </c>
      <c r="K247">
        <v>6.25</v>
      </c>
      <c r="L247">
        <v>6.36</v>
      </c>
      <c r="M247">
        <v>6.68</v>
      </c>
      <c r="N247">
        <v>6.59</v>
      </c>
      <c r="O247" s="3"/>
      <c r="P247" s="3"/>
    </row>
    <row r="248" spans="4:16" x14ac:dyDescent="0.25">
      <c r="D248" s="2">
        <v>35425</v>
      </c>
      <c r="E248">
        <v>5.0999999999999996</v>
      </c>
      <c r="F248">
        <v>5.27</v>
      </c>
      <c r="G248">
        <v>5.5</v>
      </c>
      <c r="H248">
        <v>5.85</v>
      </c>
      <c r="I248">
        <v>5.98</v>
      </c>
      <c r="J248">
        <v>6.13</v>
      </c>
      <c r="K248">
        <v>6.25</v>
      </c>
      <c r="L248">
        <v>6.35</v>
      </c>
      <c r="M248">
        <v>6.68</v>
      </c>
      <c r="N248">
        <v>6.59</v>
      </c>
      <c r="O248" s="3"/>
      <c r="P248" s="3"/>
    </row>
    <row r="249" spans="4:16" x14ac:dyDescent="0.25">
      <c r="D249" s="2">
        <v>35426</v>
      </c>
      <c r="E249">
        <v>5.1100000000000003</v>
      </c>
      <c r="F249">
        <v>5.28</v>
      </c>
      <c r="G249">
        <v>5.47</v>
      </c>
      <c r="H249">
        <v>5.81</v>
      </c>
      <c r="I249">
        <v>5.93</v>
      </c>
      <c r="J249">
        <v>6.09</v>
      </c>
      <c r="K249">
        <v>6.21</v>
      </c>
      <c r="L249">
        <v>6.3</v>
      </c>
      <c r="M249">
        <v>6.63</v>
      </c>
      <c r="N249">
        <v>6.54</v>
      </c>
      <c r="O249" s="3"/>
      <c r="P249" s="3"/>
    </row>
    <row r="250" spans="4:16" x14ac:dyDescent="0.25">
      <c r="D250" s="2">
        <v>35429</v>
      </c>
      <c r="E250">
        <v>5.21</v>
      </c>
      <c r="F250">
        <v>5.29</v>
      </c>
      <c r="G250">
        <v>5.47</v>
      </c>
      <c r="H250">
        <v>5.8</v>
      </c>
      <c r="I250">
        <v>5.95</v>
      </c>
      <c r="J250">
        <v>6.1</v>
      </c>
      <c r="K250">
        <v>6.21</v>
      </c>
      <c r="L250">
        <v>6.31</v>
      </c>
      <c r="M250">
        <v>6.63</v>
      </c>
      <c r="N250">
        <v>6.54</v>
      </c>
      <c r="O250" s="3"/>
      <c r="P250" s="3"/>
    </row>
    <row r="251" spans="4:16" x14ac:dyDescent="0.25">
      <c r="D251" s="2">
        <v>35430</v>
      </c>
      <c r="E251">
        <v>5.21</v>
      </c>
      <c r="F251">
        <v>5.33</v>
      </c>
      <c r="G251">
        <v>5.51</v>
      </c>
      <c r="H251">
        <v>5.88</v>
      </c>
      <c r="I251">
        <v>6.04</v>
      </c>
      <c r="J251">
        <v>6.21</v>
      </c>
      <c r="K251">
        <v>6.34</v>
      </c>
      <c r="L251">
        <v>6.43</v>
      </c>
      <c r="M251">
        <v>6.73</v>
      </c>
      <c r="N251">
        <v>6.65</v>
      </c>
      <c r="O251" s="3"/>
      <c r="P251" s="3"/>
    </row>
    <row r="254" spans="4:16" x14ac:dyDescent="0.25">
      <c r="D254" t="s">
        <v>12</v>
      </c>
      <c r="E254" t="s">
        <v>0</v>
      </c>
      <c r="F254" t="s">
        <v>1</v>
      </c>
      <c r="G254" t="s">
        <v>2</v>
      </c>
      <c r="H254" t="s">
        <v>3</v>
      </c>
      <c r="I254" t="s">
        <v>4</v>
      </c>
      <c r="J254" t="s">
        <v>5</v>
      </c>
      <c r="K254" t="s">
        <v>6</v>
      </c>
      <c r="L254" t="s">
        <v>7</v>
      </c>
      <c r="M254" t="s">
        <v>8</v>
      </c>
      <c r="N254" t="s">
        <v>9</v>
      </c>
    </row>
    <row r="255" spans="4:16" x14ac:dyDescent="0.25">
      <c r="D255" s="2">
        <v>35069</v>
      </c>
      <c r="E255" s="3">
        <f>LN(E21/E2)</f>
        <v>-3.1313713066149496E-2</v>
      </c>
      <c r="F255" s="3">
        <f t="shared" ref="F255:N255" si="0">LN(F21/F2)</f>
        <v>-4.8981387040269997E-2</v>
      </c>
      <c r="G255" s="3">
        <f t="shared" si="0"/>
        <v>-6.1588477312741564E-2</v>
      </c>
      <c r="H255" s="3">
        <f t="shared" si="0"/>
        <v>-4.7533700465739064E-2</v>
      </c>
      <c r="I255" s="3">
        <f t="shared" si="0"/>
        <v>-4.0742783462349982E-2</v>
      </c>
      <c r="J255" s="3">
        <f t="shared" si="0"/>
        <v>-2.8223886587954921E-2</v>
      </c>
      <c r="K255" s="3">
        <f t="shared" si="0"/>
        <v>-1.4519311324453268E-2</v>
      </c>
      <c r="L255" s="3">
        <f t="shared" si="0"/>
        <v>-3.5461030067505889E-3</v>
      </c>
      <c r="M255" s="3">
        <f t="shared" si="0"/>
        <v>4.922077205428455E-3</v>
      </c>
      <c r="N255" s="3">
        <f t="shared" si="0"/>
        <v>8.2576852389816373E-3</v>
      </c>
      <c r="O255" s="3"/>
      <c r="P255" s="3"/>
    </row>
    <row r="256" spans="4:16" x14ac:dyDescent="0.25">
      <c r="D256" s="2">
        <v>35072</v>
      </c>
      <c r="E256" s="3">
        <f t="shared" ref="E256:N256" si="1">LN(E22/E3)</f>
        <v>-3.929778741436999E-2</v>
      </c>
      <c r="F256" s="3">
        <f t="shared" si="1"/>
        <v>-5.5132070694716102E-2</v>
      </c>
      <c r="G256" s="3">
        <f t="shared" si="1"/>
        <v>-6.77549922284056E-2</v>
      </c>
      <c r="H256" s="3">
        <f t="shared" si="1"/>
        <v>-5.9423420470800764E-2</v>
      </c>
      <c r="I256" s="3">
        <f t="shared" si="1"/>
        <v>-4.8412163786930772E-2</v>
      </c>
      <c r="J256" s="3">
        <f t="shared" si="1"/>
        <v>-3.3774317118604041E-2</v>
      </c>
      <c r="K256" s="3">
        <f t="shared" si="1"/>
        <v>-1.805103164556842E-2</v>
      </c>
      <c r="L256" s="3">
        <f t="shared" si="1"/>
        <v>-5.2863559231480601E-3</v>
      </c>
      <c r="M256" s="3">
        <f t="shared" si="1"/>
        <v>8.1500043619244077E-3</v>
      </c>
      <c r="N256" s="3">
        <f t="shared" si="1"/>
        <v>1.639380977567657E-2</v>
      </c>
      <c r="O256" s="3"/>
      <c r="P256" s="3"/>
    </row>
    <row r="257" spans="4:16" x14ac:dyDescent="0.25">
      <c r="D257" s="2">
        <v>35073</v>
      </c>
      <c r="E257" s="3">
        <f t="shared" ref="E257:N257" si="2">LN(E23/E4)</f>
        <v>-3.5367143837291247E-2</v>
      </c>
      <c r="F257" s="3">
        <f t="shared" si="2"/>
        <v>-4.706751085798562E-2</v>
      </c>
      <c r="G257" s="3">
        <f t="shared" si="2"/>
        <v>-6.1588477312741564E-2</v>
      </c>
      <c r="H257" s="3">
        <f t="shared" si="2"/>
        <v>-4.9271049006782794E-2</v>
      </c>
      <c r="I257" s="3">
        <f t="shared" si="2"/>
        <v>-3.475253199083949E-2</v>
      </c>
      <c r="J257" s="3">
        <f t="shared" si="2"/>
        <v>-2.0542272300314038E-2</v>
      </c>
      <c r="K257" s="3">
        <f t="shared" si="2"/>
        <v>-3.6036075032985443E-3</v>
      </c>
      <c r="L257" s="3">
        <f t="shared" si="2"/>
        <v>3.5149421074445919E-3</v>
      </c>
      <c r="M257" s="3">
        <f t="shared" si="2"/>
        <v>1.1410066738030959E-2</v>
      </c>
      <c r="N257" s="3">
        <f t="shared" si="2"/>
        <v>1.8048069871703067E-2</v>
      </c>
      <c r="O257" s="3"/>
      <c r="P257" s="3"/>
    </row>
    <row r="258" spans="4:16" x14ac:dyDescent="0.25">
      <c r="D258" s="2">
        <v>35074</v>
      </c>
      <c r="E258" s="3">
        <f t="shared" ref="E258:N258" si="3">LN(E24/E5)</f>
        <v>-3.9375165234829937E-2</v>
      </c>
      <c r="F258" s="3">
        <f t="shared" si="3"/>
        <v>-4.5238785478844377E-2</v>
      </c>
      <c r="G258" s="3">
        <f t="shared" si="3"/>
        <v>-5.7842642398972931E-2</v>
      </c>
      <c r="H258" s="3">
        <f t="shared" si="3"/>
        <v>-4.9466068216792967E-2</v>
      </c>
      <c r="I258" s="3">
        <f t="shared" si="3"/>
        <v>-4.6610378441622996E-2</v>
      </c>
      <c r="J258" s="3">
        <f t="shared" si="3"/>
        <v>-2.432299514022002E-2</v>
      </c>
      <c r="K258" s="3">
        <f t="shared" si="3"/>
        <v>-1.444068415479436E-2</v>
      </c>
      <c r="L258" s="3">
        <f t="shared" si="3"/>
        <v>-3.5149421074446084E-3</v>
      </c>
      <c r="M258" s="3">
        <f t="shared" si="3"/>
        <v>4.8899852941917702E-3</v>
      </c>
      <c r="N258" s="3">
        <f t="shared" si="3"/>
        <v>1.311494207782795E-2</v>
      </c>
      <c r="O258" s="3"/>
      <c r="P258" s="3"/>
    </row>
    <row r="259" spans="4:16" x14ac:dyDescent="0.25">
      <c r="D259" s="2">
        <v>35075</v>
      </c>
      <c r="E259" s="3">
        <f t="shared" ref="E259:N259" si="4">LN(E25/E6)</f>
        <v>-4.9368365977966129E-2</v>
      </c>
      <c r="F259" s="3">
        <f t="shared" si="4"/>
        <v>-4.7346120597198428E-2</v>
      </c>
      <c r="G259" s="3">
        <f t="shared" si="4"/>
        <v>-6.5695259265394892E-2</v>
      </c>
      <c r="H259" s="3">
        <f t="shared" si="4"/>
        <v>-5.9188871390330529E-2</v>
      </c>
      <c r="I259" s="3">
        <f t="shared" si="4"/>
        <v>-5.7931254066105248E-2</v>
      </c>
      <c r="J259" s="3">
        <f t="shared" si="4"/>
        <v>-4.2717729685154325E-2</v>
      </c>
      <c r="K259" s="3">
        <f t="shared" si="4"/>
        <v>-2.8624494574837581E-2</v>
      </c>
      <c r="L259" s="3">
        <f t="shared" si="4"/>
        <v>-2.4434025337282023E-2</v>
      </c>
      <c r="M259" s="3">
        <f t="shared" si="4"/>
        <v>-9.6774948820653687E-3</v>
      </c>
      <c r="N259" s="3">
        <f t="shared" si="4"/>
        <v>-1.624695727001922E-3</v>
      </c>
      <c r="O259" s="3"/>
      <c r="P259" s="3"/>
    </row>
    <row r="260" spans="4:16" x14ac:dyDescent="0.25">
      <c r="D260" s="2">
        <v>35076</v>
      </c>
      <c r="E260" s="3">
        <f t="shared" ref="E260:N260" si="5">LN(E26/E7)</f>
        <v>-5.3425166673580674E-2</v>
      </c>
      <c r="F260" s="3">
        <f t="shared" si="5"/>
        <v>-5.1394709123198663E-2</v>
      </c>
      <c r="G260" s="3">
        <f t="shared" si="5"/>
        <v>-6.4021858764931022E-2</v>
      </c>
      <c r="H260" s="3">
        <f t="shared" si="5"/>
        <v>-6.3262196777966268E-2</v>
      </c>
      <c r="I260" s="3">
        <f t="shared" si="5"/>
        <v>-5.8155920157073951E-2</v>
      </c>
      <c r="J260" s="3">
        <f t="shared" si="5"/>
        <v>-3.7248253880618934E-2</v>
      </c>
      <c r="K260" s="3">
        <f t="shared" si="5"/>
        <v>-2.8624494574837581E-2</v>
      </c>
      <c r="L260" s="3">
        <f t="shared" si="5"/>
        <v>-2.0979790469194522E-2</v>
      </c>
      <c r="M260" s="3">
        <f t="shared" si="5"/>
        <v>-8.0710688337915486E-3</v>
      </c>
      <c r="N260" s="3">
        <f t="shared" si="5"/>
        <v>-1.1428695823622857E-2</v>
      </c>
      <c r="O260" s="3"/>
      <c r="P260" s="3"/>
    </row>
    <row r="261" spans="4:16" x14ac:dyDescent="0.25">
      <c r="D261" s="2">
        <v>35080</v>
      </c>
      <c r="E261" s="3">
        <f t="shared" ref="E261:N261" si="6">LN(E27/E8)</f>
        <v>-4.9466068216792967E-2</v>
      </c>
      <c r="F261" s="3">
        <f t="shared" si="6"/>
        <v>-5.3531114464962372E-2</v>
      </c>
      <c r="G261" s="3">
        <f t="shared" si="6"/>
        <v>-6.427915140456468E-2</v>
      </c>
      <c r="H261" s="3">
        <f t="shared" si="6"/>
        <v>-6.3893983570945986E-2</v>
      </c>
      <c r="I261" s="3">
        <f t="shared" si="6"/>
        <v>-5.4701135713056834E-2</v>
      </c>
      <c r="J261" s="3">
        <f t="shared" si="6"/>
        <v>-2.8170876966696335E-2</v>
      </c>
      <c r="K261" s="3">
        <f t="shared" si="6"/>
        <v>-2.6955809988528218E-2</v>
      </c>
      <c r="L261" s="3">
        <f t="shared" si="6"/>
        <v>-1.5775962594167435E-2</v>
      </c>
      <c r="M261" s="3">
        <f t="shared" si="6"/>
        <v>-8.0710688337915486E-3</v>
      </c>
      <c r="N261" s="3">
        <f t="shared" si="6"/>
        <v>-8.1500043619244147E-3</v>
      </c>
      <c r="O261" s="3"/>
      <c r="P261" s="3"/>
    </row>
    <row r="262" spans="4:16" x14ac:dyDescent="0.25">
      <c r="D262" s="2">
        <v>35081</v>
      </c>
      <c r="E262" s="3">
        <f t="shared" ref="E262:N262" si="7">LN(E28/E9)</f>
        <v>-4.1714091412474966E-2</v>
      </c>
      <c r="F262" s="3">
        <f t="shared" si="7"/>
        <v>-3.6076056473809535E-2</v>
      </c>
      <c r="G262" s="3">
        <f t="shared" si="7"/>
        <v>-5.2750565385528851E-2</v>
      </c>
      <c r="H262" s="3">
        <f t="shared" si="7"/>
        <v>-5.0464793925909232E-2</v>
      </c>
      <c r="I262" s="3">
        <f t="shared" si="7"/>
        <v>-4.9368365977966129E-2</v>
      </c>
      <c r="J262" s="3">
        <f t="shared" si="7"/>
        <v>-3.7955220000435629E-2</v>
      </c>
      <c r="K262" s="3">
        <f t="shared" si="7"/>
        <v>-2.3702112306788283E-2</v>
      </c>
      <c r="L262" s="3">
        <f t="shared" si="7"/>
        <v>-8.8731726804865702E-3</v>
      </c>
      <c r="M262" s="3">
        <f t="shared" si="7"/>
        <v>-6.5359709797855334E-3</v>
      </c>
      <c r="N262" s="3">
        <f t="shared" si="7"/>
        <v>-6.5898096790555525E-3</v>
      </c>
      <c r="O262" s="3"/>
      <c r="P262" s="3"/>
    </row>
    <row r="263" spans="4:16" x14ac:dyDescent="0.25">
      <c r="D263" s="2">
        <v>35082</v>
      </c>
      <c r="E263" s="3">
        <f t="shared" ref="E263:N263" si="8">LN(E29/E10)</f>
        <v>-4.1714091412474966E-2</v>
      </c>
      <c r="F263" s="3">
        <f t="shared" si="8"/>
        <v>-3.8349805374865979E-2</v>
      </c>
      <c r="G263" s="3">
        <f t="shared" si="8"/>
        <v>-5.0875670660453426E-2</v>
      </c>
      <c r="H263" s="3">
        <f t="shared" si="8"/>
        <v>-5.0772325373423258E-2</v>
      </c>
      <c r="I263" s="3">
        <f t="shared" si="8"/>
        <v>-4.9860775980293134E-2</v>
      </c>
      <c r="J263" s="3">
        <f t="shared" si="8"/>
        <v>-2.8765166403134323E-2</v>
      </c>
      <c r="K263" s="3">
        <f t="shared" si="8"/>
        <v>-1.2903404835907954E-2</v>
      </c>
      <c r="L263" s="3">
        <f t="shared" si="8"/>
        <v>0</v>
      </c>
      <c r="M263" s="3">
        <f t="shared" si="8"/>
        <v>4.9464239353256166E-3</v>
      </c>
      <c r="N263" s="3">
        <f t="shared" si="8"/>
        <v>3.3277900926745245E-3</v>
      </c>
      <c r="O263" s="3"/>
      <c r="P263" s="3"/>
    </row>
    <row r="264" spans="4:16" x14ac:dyDescent="0.25">
      <c r="D264" s="2">
        <v>35083</v>
      </c>
      <c r="E264" s="3">
        <f t="shared" ref="E264:N264" si="9">LN(E30/E11)</f>
        <v>-3.3834073015781868E-2</v>
      </c>
      <c r="F264" s="3">
        <f t="shared" si="9"/>
        <v>-2.4194728587056766E-2</v>
      </c>
      <c r="G264" s="3">
        <f t="shared" si="9"/>
        <v>-4.2819997182928185E-2</v>
      </c>
      <c r="H264" s="3">
        <f t="shared" si="9"/>
        <v>-3.8661987034264385E-2</v>
      </c>
      <c r="I264" s="3">
        <f t="shared" si="9"/>
        <v>-3.6003888756002064E-2</v>
      </c>
      <c r="J264" s="3">
        <f t="shared" si="9"/>
        <v>-1.535538808319465E-2</v>
      </c>
      <c r="K264" s="3">
        <f t="shared" si="9"/>
        <v>1.843318494289093E-3</v>
      </c>
      <c r="L264" s="3">
        <f t="shared" si="9"/>
        <v>1.6143848371356205E-2</v>
      </c>
      <c r="M264" s="3">
        <f t="shared" si="9"/>
        <v>1.6447739209025883E-2</v>
      </c>
      <c r="N264" s="3">
        <f t="shared" si="9"/>
        <v>1.4938037108866407E-2</v>
      </c>
      <c r="O264" s="3"/>
      <c r="P264" s="3"/>
    </row>
    <row r="265" spans="4:16" x14ac:dyDescent="0.25">
      <c r="D265" s="2">
        <v>35086</v>
      </c>
      <c r="E265" s="3">
        <f t="shared" ref="E265:N265" si="10">LN(E31/E12)</f>
        <v>-3.5932009226063329E-2</v>
      </c>
      <c r="F265" s="3">
        <f t="shared" si="10"/>
        <v>-2.8057952795157381E-2</v>
      </c>
      <c r="G265" s="3">
        <f t="shared" si="10"/>
        <v>-3.6515212975097452E-2</v>
      </c>
      <c r="H265" s="3">
        <f t="shared" si="10"/>
        <v>-3.2326047017149494E-2</v>
      </c>
      <c r="I265" s="3">
        <f t="shared" si="10"/>
        <v>-2.9852963149681045E-2</v>
      </c>
      <c r="J265" s="3">
        <f t="shared" si="10"/>
        <v>-7.6190844764392933E-3</v>
      </c>
      <c r="K265" s="3">
        <f t="shared" si="10"/>
        <v>1.2808958292581241E-2</v>
      </c>
      <c r="L265" s="3">
        <f t="shared" si="10"/>
        <v>2.8471674081311994E-2</v>
      </c>
      <c r="M265" s="3">
        <f t="shared" si="10"/>
        <v>3.2682647430358404E-2</v>
      </c>
      <c r="N265" s="3">
        <f t="shared" si="10"/>
        <v>3.132985014091786E-2</v>
      </c>
      <c r="O265" s="3"/>
      <c r="P265" s="3"/>
    </row>
    <row r="266" spans="4:16" x14ac:dyDescent="0.25">
      <c r="D266" s="2">
        <v>35087</v>
      </c>
      <c r="E266" s="3">
        <f t="shared" ref="E266:N266" si="11">LN(E32/E13)</f>
        <v>-4.9860775980293134E-2</v>
      </c>
      <c r="F266" s="3">
        <f t="shared" si="11"/>
        <v>-4.0005334613699019E-2</v>
      </c>
      <c r="G266" s="3">
        <f t="shared" si="11"/>
        <v>-4.445176257083381E-2</v>
      </c>
      <c r="H266" s="3">
        <f t="shared" si="11"/>
        <v>-3.6076056473809535E-2</v>
      </c>
      <c r="I266" s="3">
        <f t="shared" si="11"/>
        <v>-3.1436773423564358E-2</v>
      </c>
      <c r="J266" s="3">
        <f t="shared" si="11"/>
        <v>-9.4074071018953685E-3</v>
      </c>
      <c r="K266" s="3">
        <f t="shared" si="11"/>
        <v>1.4440684154794428E-2</v>
      </c>
      <c r="L266" s="3">
        <f t="shared" si="11"/>
        <v>2.6386755173194811E-2</v>
      </c>
      <c r="M266" s="3">
        <f t="shared" si="11"/>
        <v>2.9128272923023637E-2</v>
      </c>
      <c r="N266" s="3">
        <f t="shared" si="11"/>
        <v>3.097232085263819E-2</v>
      </c>
      <c r="O266" s="3"/>
      <c r="P266" s="3"/>
    </row>
    <row r="267" spans="4:16" x14ac:dyDescent="0.25">
      <c r="D267" s="2">
        <v>35088</v>
      </c>
      <c r="E267" s="3">
        <f t="shared" ref="E267:N267" si="12">LN(E33/E14)</f>
        <v>-2.5718529287989119E-2</v>
      </c>
      <c r="F267" s="3">
        <f t="shared" si="12"/>
        <v>-3.9215736531818023E-3</v>
      </c>
      <c r="G267" s="3">
        <f t="shared" si="12"/>
        <v>5.9113472630571645E-3</v>
      </c>
      <c r="H267" s="3">
        <f t="shared" si="12"/>
        <v>1.7527225708960321E-2</v>
      </c>
      <c r="I267" s="3">
        <f t="shared" si="12"/>
        <v>2.2901764286684414E-2</v>
      </c>
      <c r="J267" s="3">
        <f t="shared" si="12"/>
        <v>2.935990701347008E-2</v>
      </c>
      <c r="K267" s="3">
        <f t="shared" si="12"/>
        <v>4.9219072604058015E-2</v>
      </c>
      <c r="L267" s="3">
        <f t="shared" si="12"/>
        <v>6.0000856332024642E-2</v>
      </c>
      <c r="M267" s="3">
        <f t="shared" si="12"/>
        <v>4.925538864863005E-2</v>
      </c>
      <c r="N267" s="3">
        <f t="shared" si="12"/>
        <v>4.8086186667637726E-2</v>
      </c>
      <c r="O267" s="3"/>
      <c r="P267" s="3"/>
    </row>
    <row r="268" spans="4:16" x14ac:dyDescent="0.25">
      <c r="D268" s="2">
        <v>35089</v>
      </c>
      <c r="E268" s="3">
        <f t="shared" ref="E268:N268" si="13">LN(E34/E15)</f>
        <v>-3.1748698314580298E-2</v>
      </c>
      <c r="F268" s="3">
        <f t="shared" si="13"/>
        <v>-1.3820555618632087E-2</v>
      </c>
      <c r="G268" s="3">
        <f t="shared" si="13"/>
        <v>3.9682591756204488E-3</v>
      </c>
      <c r="H268" s="3">
        <f t="shared" si="13"/>
        <v>1.7595761890379442E-2</v>
      </c>
      <c r="I268" s="3">
        <f t="shared" si="13"/>
        <v>2.6770241064604832E-2</v>
      </c>
      <c r="J268" s="3">
        <f t="shared" si="13"/>
        <v>4.7891287704414851E-2</v>
      </c>
      <c r="K268" s="3">
        <f t="shared" si="13"/>
        <v>5.4832478625394657E-2</v>
      </c>
      <c r="L268" s="3">
        <f t="shared" si="13"/>
        <v>6.2088904056940675E-2</v>
      </c>
      <c r="M268" s="3">
        <f t="shared" si="13"/>
        <v>6.21714125347336E-2</v>
      </c>
      <c r="N268" s="3">
        <f t="shared" si="13"/>
        <v>5.9647009068713779E-2</v>
      </c>
      <c r="O268" s="3"/>
      <c r="P268" s="3"/>
    </row>
    <row r="269" spans="4:16" x14ac:dyDescent="0.25">
      <c r="D269" s="2">
        <v>35090</v>
      </c>
      <c r="E269" s="3">
        <f t="shared" ref="E269:N269" si="14">LN(E35/E16)</f>
        <v>-3.3766862470817484E-2</v>
      </c>
      <c r="F269" s="3">
        <f t="shared" si="14"/>
        <v>-2.7724548014854748E-2</v>
      </c>
      <c r="G269" s="3">
        <f t="shared" si="14"/>
        <v>-1.3930573535946797E-2</v>
      </c>
      <c r="H269" s="3">
        <f t="shared" si="14"/>
        <v>0</v>
      </c>
      <c r="I269" s="3">
        <f t="shared" si="14"/>
        <v>0</v>
      </c>
      <c r="J269" s="3">
        <f t="shared" si="14"/>
        <v>1.1029523575499604E-2</v>
      </c>
      <c r="K269" s="3">
        <f t="shared" si="14"/>
        <v>3.174869831458027E-2</v>
      </c>
      <c r="L269" s="3">
        <f t="shared" si="14"/>
        <v>3.7870274055409749E-2</v>
      </c>
      <c r="M269" s="3">
        <f t="shared" si="14"/>
        <v>4.2897760704099556E-2</v>
      </c>
      <c r="N269" s="3">
        <f t="shared" si="14"/>
        <v>4.0101604168526803E-2</v>
      </c>
      <c r="O269" s="3"/>
      <c r="P269" s="3"/>
    </row>
    <row r="270" spans="4:16" x14ac:dyDescent="0.25">
      <c r="D270" s="2">
        <v>35093</v>
      </c>
      <c r="E270" s="3">
        <f t="shared" ref="E270:N270" si="15">LN(E36/E17)</f>
        <v>-2.777956410707582E-2</v>
      </c>
      <c r="F270" s="3">
        <f t="shared" si="15"/>
        <v>-2.3763494452185768E-2</v>
      </c>
      <c r="G270" s="3">
        <f t="shared" si="15"/>
        <v>0</v>
      </c>
      <c r="H270" s="3">
        <f t="shared" si="15"/>
        <v>9.794397592287625E-3</v>
      </c>
      <c r="I270" s="3">
        <f t="shared" si="15"/>
        <v>2.101318959881639E-2</v>
      </c>
      <c r="J270" s="3">
        <f t="shared" si="15"/>
        <v>3.4962162562139937E-2</v>
      </c>
      <c r="K270" s="3">
        <f t="shared" si="15"/>
        <v>4.9305760984154061E-2</v>
      </c>
      <c r="L270" s="3">
        <f t="shared" si="15"/>
        <v>5.5091382246161141E-2</v>
      </c>
      <c r="M270" s="3">
        <f t="shared" si="15"/>
        <v>6.351340572232593E-2</v>
      </c>
      <c r="N270" s="3">
        <f t="shared" si="15"/>
        <v>6.1014105755146215E-2</v>
      </c>
      <c r="O270" s="3"/>
      <c r="P270" s="3"/>
    </row>
    <row r="271" spans="4:16" x14ac:dyDescent="0.25">
      <c r="D271" s="2">
        <v>35094</v>
      </c>
      <c r="E271" s="3">
        <f t="shared" ref="E271:N271" si="16">LN(E37/E18)</f>
        <v>-3.7442797483776137E-2</v>
      </c>
      <c r="F271" s="3">
        <f t="shared" si="16"/>
        <v>-2.7724548014854748E-2</v>
      </c>
      <c r="G271" s="3">
        <f t="shared" si="16"/>
        <v>0</v>
      </c>
      <c r="H271" s="3">
        <f t="shared" si="16"/>
        <v>1.5564516541111548E-2</v>
      </c>
      <c r="I271" s="3">
        <f t="shared" si="16"/>
        <v>2.2771382412477597E-2</v>
      </c>
      <c r="J271" s="3">
        <f t="shared" si="16"/>
        <v>3.4770199741717495E-2</v>
      </c>
      <c r="K271" s="3">
        <f t="shared" si="16"/>
        <v>5.0843552981274229E-2</v>
      </c>
      <c r="L271" s="3">
        <f t="shared" si="16"/>
        <v>5.4714500408876487E-2</v>
      </c>
      <c r="M271" s="3">
        <f t="shared" si="16"/>
        <v>6.3112423310056259E-2</v>
      </c>
      <c r="N271" s="3">
        <f t="shared" si="16"/>
        <v>5.7432049085875604E-2</v>
      </c>
      <c r="O271" s="3"/>
      <c r="P271" s="3"/>
    </row>
    <row r="272" spans="4:16" x14ac:dyDescent="0.25">
      <c r="D272" s="2">
        <v>35095</v>
      </c>
      <c r="E272" s="3">
        <f t="shared" ref="E272:N272" si="17">LN(E38/E19)</f>
        <v>-2.561716437030033E-2</v>
      </c>
      <c r="F272" s="3">
        <f t="shared" si="17"/>
        <v>-5.9583095836306353E-3</v>
      </c>
      <c r="G272" s="3">
        <f t="shared" si="17"/>
        <v>2.7724548014854768E-2</v>
      </c>
      <c r="H272" s="3">
        <f t="shared" si="17"/>
        <v>5.0496164014532448E-2</v>
      </c>
      <c r="I272" s="3">
        <f t="shared" si="17"/>
        <v>5.3143433675711983E-2</v>
      </c>
      <c r="J272" s="3">
        <f t="shared" si="17"/>
        <v>6.0402621593522957E-2</v>
      </c>
      <c r="K272" s="3">
        <f t="shared" si="17"/>
        <v>6.8387727746850688E-2</v>
      </c>
      <c r="L272" s="3">
        <f t="shared" si="17"/>
        <v>7.3600357929624091E-2</v>
      </c>
      <c r="M272" s="3">
        <f t="shared" si="17"/>
        <v>7.5985906977922055E-2</v>
      </c>
      <c r="N272" s="3">
        <f t="shared" si="17"/>
        <v>6.87720965660856E-2</v>
      </c>
      <c r="O272" s="3"/>
      <c r="P272" s="3"/>
    </row>
    <row r="273" spans="4:16" x14ac:dyDescent="0.25">
      <c r="D273" s="2">
        <v>35096</v>
      </c>
      <c r="E273" s="3">
        <f t="shared" ref="E273:N273" si="18">LN(E39/E20)</f>
        <v>-7.9523281904950345E-3</v>
      </c>
      <c r="F273" s="3">
        <f t="shared" si="18"/>
        <v>1.5968403178731203E-2</v>
      </c>
      <c r="G273" s="3">
        <f t="shared" si="18"/>
        <v>6.3262196777966323E-2</v>
      </c>
      <c r="H273" s="3">
        <f t="shared" si="18"/>
        <v>9.6600145891245257E-2</v>
      </c>
      <c r="I273" s="3">
        <f t="shared" si="18"/>
        <v>8.519813986544908E-2</v>
      </c>
      <c r="J273" s="3">
        <f t="shared" si="18"/>
        <v>8.7487454123115801E-2</v>
      </c>
      <c r="K273" s="3">
        <f t="shared" si="18"/>
        <v>8.9298137647696951E-2</v>
      </c>
      <c r="L273" s="3">
        <f t="shared" si="18"/>
        <v>8.7160175442400512E-2</v>
      </c>
      <c r="M273" s="3">
        <f t="shared" si="18"/>
        <v>8.0676140265818846E-2</v>
      </c>
      <c r="N273" s="3">
        <f t="shared" si="18"/>
        <v>7.1973499625089241E-2</v>
      </c>
      <c r="O273" s="3"/>
      <c r="P273" s="3"/>
    </row>
    <row r="274" spans="4:16" x14ac:dyDescent="0.25">
      <c r="D274" s="2">
        <v>35097</v>
      </c>
      <c r="E274" s="3">
        <f t="shared" ref="E274:N274" si="19">LN(E40/E21)</f>
        <v>-1.9900504080101475E-3</v>
      </c>
      <c r="F274" s="3">
        <f t="shared" si="19"/>
        <v>1.3958352250706855E-2</v>
      </c>
      <c r="G274" s="3">
        <f t="shared" si="19"/>
        <v>6.9266058211775922E-2</v>
      </c>
      <c r="H274" s="3">
        <f t="shared" si="19"/>
        <v>9.8440072813252705E-2</v>
      </c>
      <c r="I274" s="3">
        <f t="shared" si="19"/>
        <v>9.6209864975222437E-2</v>
      </c>
      <c r="J274" s="3">
        <f t="shared" si="19"/>
        <v>8.939403239369742E-2</v>
      </c>
      <c r="K274" s="3">
        <f t="shared" si="19"/>
        <v>9.0812795693468326E-2</v>
      </c>
      <c r="L274" s="3">
        <f t="shared" si="19"/>
        <v>8.5085307796521015E-2</v>
      </c>
      <c r="M274" s="3">
        <f t="shared" si="19"/>
        <v>7.2587059313015276E-2</v>
      </c>
      <c r="N274" s="3">
        <f t="shared" si="19"/>
        <v>6.371581438610778E-2</v>
      </c>
      <c r="O274" s="3"/>
      <c r="P274" s="3"/>
    </row>
    <row r="275" spans="4:16" x14ac:dyDescent="0.25">
      <c r="D275" s="2">
        <v>35100</v>
      </c>
      <c r="E275" s="3">
        <f t="shared" ref="E275:N275" si="20">LN(E41/E22)</f>
        <v>-2.006018726865743E-3</v>
      </c>
      <c r="F275" s="3">
        <f t="shared" si="20"/>
        <v>0</v>
      </c>
      <c r="G275" s="3">
        <f t="shared" si="20"/>
        <v>4.4362112653700027E-2</v>
      </c>
      <c r="H275" s="3">
        <f t="shared" si="20"/>
        <v>7.0895821633037356E-2</v>
      </c>
      <c r="I275" s="3">
        <f t="shared" si="20"/>
        <v>6.8992871486951421E-2</v>
      </c>
      <c r="J275" s="3">
        <f t="shared" si="20"/>
        <v>6.6445099408152547E-2</v>
      </c>
      <c r="K275" s="3">
        <f t="shared" si="20"/>
        <v>6.5221348067481991E-2</v>
      </c>
      <c r="L275" s="3">
        <f t="shared" si="20"/>
        <v>5.6667519912266387E-2</v>
      </c>
      <c r="M275" s="3">
        <f t="shared" si="20"/>
        <v>5.0643732818754936E-2</v>
      </c>
      <c r="N275" s="3">
        <f t="shared" si="20"/>
        <v>3.6716015538271973E-2</v>
      </c>
      <c r="O275" s="3"/>
      <c r="P275" s="3"/>
    </row>
    <row r="276" spans="4:16" x14ac:dyDescent="0.25">
      <c r="D276" s="2">
        <v>35101</v>
      </c>
      <c r="E276" s="3">
        <f t="shared" ref="E276:N276" si="21">LN(E42/E23)</f>
        <v>3.9920212695374567E-3</v>
      </c>
      <c r="F276" s="3">
        <f t="shared" si="21"/>
        <v>0</v>
      </c>
      <c r="G276" s="3">
        <f t="shared" si="21"/>
        <v>2.8284713838581887E-2</v>
      </c>
      <c r="H276" s="3">
        <f t="shared" si="21"/>
        <v>5.1192279184676517E-2</v>
      </c>
      <c r="I276" s="3">
        <f t="shared" si="21"/>
        <v>4.4195472791121751E-2</v>
      </c>
      <c r="J276" s="3">
        <f t="shared" si="21"/>
        <v>4.0671039730927783E-2</v>
      </c>
      <c r="K276" s="3">
        <f t="shared" si="21"/>
        <v>4.240918192509361E-2</v>
      </c>
      <c r="L276" s="3">
        <f t="shared" si="21"/>
        <v>3.7870274055409749E-2</v>
      </c>
      <c r="M276" s="3">
        <f t="shared" si="21"/>
        <v>4.1275700332231602E-2</v>
      </c>
      <c r="N276" s="3">
        <f t="shared" si="21"/>
        <v>3.0426686630707935E-2</v>
      </c>
      <c r="O276" s="3"/>
      <c r="P276" s="3"/>
    </row>
    <row r="277" spans="4:16" x14ac:dyDescent="0.25">
      <c r="D277" s="2">
        <v>35102</v>
      </c>
      <c r="E277" s="3">
        <f t="shared" ref="E277:N277" si="22">LN(E43/E24)</f>
        <v>8.0000426670761501E-3</v>
      </c>
      <c r="F277" s="3">
        <f t="shared" si="22"/>
        <v>8.0160749882361246E-3</v>
      </c>
      <c r="G277" s="3">
        <f t="shared" si="22"/>
        <v>4.0246880508593319E-2</v>
      </c>
      <c r="H277" s="3">
        <f t="shared" si="22"/>
        <v>6.8587109663571566E-2</v>
      </c>
      <c r="I277" s="3">
        <f t="shared" si="22"/>
        <v>7.0978969458580801E-2</v>
      </c>
      <c r="J277" s="3">
        <f t="shared" si="22"/>
        <v>5.8840500022933395E-2</v>
      </c>
      <c r="K277" s="3">
        <f t="shared" si="22"/>
        <v>5.9982704601710408E-2</v>
      </c>
      <c r="L277" s="3">
        <f t="shared" si="22"/>
        <v>4.8119248344198562E-2</v>
      </c>
      <c r="M277" s="3">
        <f t="shared" si="22"/>
        <v>5.2268428545756869E-2</v>
      </c>
      <c r="N277" s="3">
        <f t="shared" si="22"/>
        <v>3.9909526230392359E-2</v>
      </c>
      <c r="O277" s="3"/>
      <c r="P277" s="3"/>
    </row>
    <row r="278" spans="4:16" x14ac:dyDescent="0.25">
      <c r="D278" s="2">
        <v>35103</v>
      </c>
      <c r="E278" s="3">
        <f t="shared" ref="E278:N278" si="23">LN(E44/E25)</f>
        <v>1.8054652911816706E-2</v>
      </c>
      <c r="F278" s="3">
        <f t="shared" si="23"/>
        <v>2.0000666706669435E-2</v>
      </c>
      <c r="G278" s="3">
        <f t="shared" si="23"/>
        <v>5.4067221270275578E-2</v>
      </c>
      <c r="H278" s="3">
        <f t="shared" si="23"/>
        <v>8.5655444578494014E-2</v>
      </c>
      <c r="I278" s="3">
        <f t="shared" si="23"/>
        <v>8.568511684827626E-2</v>
      </c>
      <c r="J278" s="3">
        <f t="shared" si="23"/>
        <v>7.4920870179789087E-2</v>
      </c>
      <c r="K278" s="3">
        <f t="shared" si="23"/>
        <v>7.3459589844810921E-2</v>
      </c>
      <c r="L278" s="3">
        <f t="shared" si="23"/>
        <v>6.6634379827658574E-2</v>
      </c>
      <c r="M278" s="3">
        <f t="shared" si="23"/>
        <v>5.8238327551810902E-2</v>
      </c>
      <c r="N278" s="3">
        <f t="shared" si="23"/>
        <v>4.6076458297835715E-2</v>
      </c>
      <c r="O278" s="3"/>
      <c r="P278" s="3"/>
    </row>
    <row r="279" spans="4:16" x14ac:dyDescent="0.25">
      <c r="D279" s="2">
        <v>35104</v>
      </c>
      <c r="E279" s="3">
        <f t="shared" ref="E279:N279" si="24">LN(E45/E26)</f>
        <v>2.2111453607431185E-2</v>
      </c>
      <c r="F279" s="3">
        <f t="shared" si="24"/>
        <v>2.6027495244775451E-2</v>
      </c>
      <c r="G279" s="3">
        <f t="shared" si="24"/>
        <v>6.0138358738533314E-2</v>
      </c>
      <c r="H279" s="3">
        <f t="shared" si="24"/>
        <v>9.7163748453647669E-2</v>
      </c>
      <c r="I279" s="3">
        <f t="shared" si="24"/>
        <v>9.8751900437470078E-2</v>
      </c>
      <c r="J279" s="3">
        <f t="shared" si="24"/>
        <v>8.0188661114647897E-2</v>
      </c>
      <c r="K279" s="3">
        <f t="shared" si="24"/>
        <v>7.8505857912435362E-2</v>
      </c>
      <c r="L279" s="3">
        <f t="shared" si="24"/>
        <v>6.993471285631539E-2</v>
      </c>
      <c r="M279" s="3">
        <f t="shared" si="24"/>
        <v>6.1291765038701276E-2</v>
      </c>
      <c r="N279" s="3">
        <f t="shared" si="24"/>
        <v>5.8981236072704862E-2</v>
      </c>
      <c r="O279" s="3"/>
      <c r="P279" s="3"/>
    </row>
    <row r="280" spans="4:16" x14ac:dyDescent="0.25">
      <c r="D280" s="2">
        <v>35107</v>
      </c>
      <c r="E280" s="3">
        <f t="shared" ref="E280:N280" si="25">LN(E46/E27)</f>
        <v>1.6096927042174799E-2</v>
      </c>
      <c r="F280" s="3">
        <f t="shared" si="25"/>
        <v>5.7384683780952399E-2</v>
      </c>
      <c r="G280" s="3">
        <f t="shared" si="25"/>
        <v>0.11177145685839668</v>
      </c>
      <c r="H280" s="3">
        <f t="shared" si="25"/>
        <v>0.16673682577725657</v>
      </c>
      <c r="I280" s="3">
        <f t="shared" si="25"/>
        <v>0.16612687087397382</v>
      </c>
      <c r="J280" s="3">
        <f t="shared" si="25"/>
        <v>0.14183019543921763</v>
      </c>
      <c r="K280" s="3">
        <f t="shared" si="25"/>
        <v>0.13444172495866813</v>
      </c>
      <c r="L280" s="3">
        <f t="shared" si="25"/>
        <v>0.12443537871748715</v>
      </c>
      <c r="M280" s="3">
        <f t="shared" si="25"/>
        <v>0.10308889371716255</v>
      </c>
      <c r="N280" s="3">
        <f t="shared" si="25"/>
        <v>9.2180753213416428E-2</v>
      </c>
      <c r="O280" s="3"/>
      <c r="P280" s="3"/>
    </row>
    <row r="281" spans="4:16" x14ac:dyDescent="0.25">
      <c r="D281" s="2">
        <v>35108</v>
      </c>
      <c r="E281" s="3">
        <f t="shared" ref="E281:N281" si="26">LN(E47/E28)</f>
        <v>3.1938842507832632E-2</v>
      </c>
      <c r="F281" s="3">
        <f t="shared" si="26"/>
        <v>5.5569851154810571E-2</v>
      </c>
      <c r="G281" s="3">
        <f t="shared" si="26"/>
        <v>0.11407245625984781</v>
      </c>
      <c r="H281" s="3">
        <f t="shared" si="26"/>
        <v>0.16737255600343756</v>
      </c>
      <c r="I281" s="3">
        <f t="shared" si="26"/>
        <v>0.17078427238909008</v>
      </c>
      <c r="J281" s="3">
        <f t="shared" si="26"/>
        <v>0.14888678070771716</v>
      </c>
      <c r="K281" s="3">
        <f t="shared" si="26"/>
        <v>0.1408843669297814</v>
      </c>
      <c r="L281" s="3">
        <f t="shared" si="26"/>
        <v>0.12074951662147973</v>
      </c>
      <c r="M281" s="3">
        <f t="shared" si="26"/>
        <v>0.10273411887560714</v>
      </c>
      <c r="N281" s="3">
        <f t="shared" si="26"/>
        <v>9.1546532155021038E-2</v>
      </c>
      <c r="O281" s="3"/>
      <c r="P281" s="3"/>
    </row>
    <row r="282" spans="4:16" x14ac:dyDescent="0.25">
      <c r="D282" s="2">
        <v>35109</v>
      </c>
      <c r="E282" s="3">
        <f t="shared" ref="E282:N282" si="27">LN(E48/E29)</f>
        <v>3.1938842507832632E-2</v>
      </c>
      <c r="F282" s="3">
        <f t="shared" si="27"/>
        <v>6.5695259265394948E-2</v>
      </c>
      <c r="G282" s="3">
        <f t="shared" si="27"/>
        <v>0.12171868143556636</v>
      </c>
      <c r="H282" s="3">
        <f t="shared" si="27"/>
        <v>0.18578776477044098</v>
      </c>
      <c r="I282" s="3">
        <f t="shared" si="27"/>
        <v>0.19114414540913363</v>
      </c>
      <c r="J282" s="3">
        <f t="shared" si="27"/>
        <v>0.16135093247964988</v>
      </c>
      <c r="K282" s="3">
        <f t="shared" si="27"/>
        <v>0.15282459555920161</v>
      </c>
      <c r="L282" s="3">
        <f t="shared" si="27"/>
        <v>0.13083960095881128</v>
      </c>
      <c r="M282" s="3">
        <f t="shared" si="27"/>
        <v>0.11044624559252911</v>
      </c>
      <c r="N282" s="3">
        <f t="shared" si="27"/>
        <v>0.10103222523156813</v>
      </c>
      <c r="O282" s="3"/>
      <c r="P282" s="3"/>
    </row>
    <row r="283" spans="4:16" x14ac:dyDescent="0.25">
      <c r="D283" s="2">
        <v>35110</v>
      </c>
      <c r="E283" s="3">
        <f t="shared" ref="E283:N283" si="28">LN(E49/E30)</f>
        <v>2.9912499362600032E-2</v>
      </c>
      <c r="F283" s="3">
        <f t="shared" si="28"/>
        <v>5.5569851154810571E-2</v>
      </c>
      <c r="G283" s="3">
        <f t="shared" si="28"/>
        <v>0.11592946700706044</v>
      </c>
      <c r="H283" s="3">
        <f t="shared" si="28"/>
        <v>0.17294160266413924</v>
      </c>
      <c r="I283" s="3">
        <f t="shared" si="28"/>
        <v>0.17687566178249209</v>
      </c>
      <c r="J283" s="3">
        <f t="shared" si="28"/>
        <v>0.15387432221875644</v>
      </c>
      <c r="K283" s="3">
        <f t="shared" si="28"/>
        <v>0.14543084653426339</v>
      </c>
      <c r="L283" s="3">
        <f t="shared" si="28"/>
        <v>0.12212314899900045</v>
      </c>
      <c r="M283" s="3">
        <f t="shared" si="28"/>
        <v>0.10812992363457875</v>
      </c>
      <c r="N283" s="3">
        <f t="shared" si="28"/>
        <v>9.5759382477147312E-2</v>
      </c>
      <c r="O283" s="3"/>
      <c r="P283" s="3"/>
    </row>
    <row r="284" spans="4:16" x14ac:dyDescent="0.25">
      <c r="D284" s="2">
        <v>35111</v>
      </c>
      <c r="E284" s="3">
        <f t="shared" ref="E284:N284" si="29">LN(E50/E31)</f>
        <v>3.7890873711396496E-2</v>
      </c>
      <c r="F284" s="3">
        <f t="shared" si="29"/>
        <v>4.7628048989254664E-2</v>
      </c>
      <c r="G284" s="3">
        <f t="shared" si="29"/>
        <v>0.10577365344515267</v>
      </c>
      <c r="H284" s="3">
        <f t="shared" si="29"/>
        <v>0.15737223774600598</v>
      </c>
      <c r="I284" s="3">
        <f t="shared" si="29"/>
        <v>0.1653432202595366</v>
      </c>
      <c r="J284" s="3">
        <f t="shared" si="29"/>
        <v>0.14233573266226252</v>
      </c>
      <c r="K284" s="3">
        <f t="shared" si="29"/>
        <v>0.13262188824168208</v>
      </c>
      <c r="L284" s="3">
        <f t="shared" si="29"/>
        <v>0.10956220251152624</v>
      </c>
      <c r="M284" s="3">
        <f t="shared" si="29"/>
        <v>9.3554766831610639E-2</v>
      </c>
      <c r="N284" s="3">
        <f t="shared" si="29"/>
        <v>8.1041210003125821E-2</v>
      </c>
      <c r="O284" s="3"/>
      <c r="P284" s="3"/>
    </row>
    <row r="285" spans="4:16" x14ac:dyDescent="0.25">
      <c r="D285" s="2">
        <v>35115</v>
      </c>
      <c r="E285" s="3">
        <f t="shared" ref="E285:N285" si="30">LN(E51/E32)</f>
        <v>4.9860775980293086E-2</v>
      </c>
      <c r="F285" s="3">
        <f t="shared" si="30"/>
        <v>6.7086293216369816E-2</v>
      </c>
      <c r="G285" s="3">
        <f t="shared" si="30"/>
        <v>0.12964990243628283</v>
      </c>
      <c r="H285" s="3">
        <f t="shared" si="30"/>
        <v>0.1806194287234241</v>
      </c>
      <c r="I285" s="3">
        <f t="shared" si="30"/>
        <v>0.18198883345034272</v>
      </c>
      <c r="J285" s="3">
        <f t="shared" si="30"/>
        <v>0.15711684082629679</v>
      </c>
      <c r="K285" s="3">
        <f t="shared" si="30"/>
        <v>0.13710921397240655</v>
      </c>
      <c r="L285" s="3">
        <f t="shared" si="30"/>
        <v>0.11469184308671072</v>
      </c>
      <c r="M285" s="3">
        <f t="shared" si="30"/>
        <v>9.5745056958384547E-2</v>
      </c>
      <c r="N285" s="3">
        <f t="shared" si="30"/>
        <v>8.0166172085076523E-2</v>
      </c>
      <c r="O285" s="3"/>
      <c r="P285" s="3"/>
    </row>
    <row r="286" spans="4:16" x14ac:dyDescent="0.25">
      <c r="D286" s="2">
        <v>35116</v>
      </c>
      <c r="E286" s="3">
        <f t="shared" ref="E286:N286" si="31">LN(E52/E33)</f>
        <v>3.5436778756910502E-2</v>
      </c>
      <c r="F286" s="3">
        <f t="shared" si="31"/>
        <v>3.4752531990839594E-2</v>
      </c>
      <c r="G286" s="3">
        <f t="shared" si="31"/>
        <v>7.9286792602391631E-2</v>
      </c>
      <c r="H286" s="3">
        <f t="shared" si="31"/>
        <v>0.1284509413921037</v>
      </c>
      <c r="I286" s="3">
        <f t="shared" si="31"/>
        <v>0.12738043876265348</v>
      </c>
      <c r="J286" s="3">
        <f t="shared" si="31"/>
        <v>0.10788896201118492</v>
      </c>
      <c r="K286" s="3">
        <f t="shared" si="31"/>
        <v>9.0151096994297478E-2</v>
      </c>
      <c r="L286" s="3">
        <f t="shared" si="31"/>
        <v>6.7549789702411753E-2</v>
      </c>
      <c r="M286" s="3">
        <f t="shared" si="31"/>
        <v>6.1627310930112797E-2</v>
      </c>
      <c r="N286" s="3">
        <f t="shared" si="31"/>
        <v>4.8864682594147044E-2</v>
      </c>
      <c r="O286" s="3"/>
      <c r="P286" s="3"/>
    </row>
    <row r="287" spans="4:16" x14ac:dyDescent="0.25">
      <c r="D287" s="2">
        <v>35117</v>
      </c>
      <c r="E287" s="3">
        <f t="shared" ref="E287:N287" si="32">LN(E53/E34)</f>
        <v>4.5327956440961166E-2</v>
      </c>
      <c r="F287" s="3">
        <f t="shared" si="32"/>
        <v>4.4711042637970468E-2</v>
      </c>
      <c r="G287" s="3">
        <f t="shared" si="32"/>
        <v>7.9890373146621452E-2</v>
      </c>
      <c r="H287" s="3">
        <f t="shared" si="32"/>
        <v>0.12550508175029357</v>
      </c>
      <c r="I287" s="3">
        <f t="shared" si="32"/>
        <v>0.1223845915692819</v>
      </c>
      <c r="J287" s="3">
        <f t="shared" si="32"/>
        <v>0.1008539735559357</v>
      </c>
      <c r="K287" s="3">
        <f t="shared" si="32"/>
        <v>8.8874242040780344E-2</v>
      </c>
      <c r="L287" s="3">
        <f t="shared" si="32"/>
        <v>6.9438702970038152E-2</v>
      </c>
      <c r="M287" s="3">
        <f t="shared" si="32"/>
        <v>5.8531333224984813E-2</v>
      </c>
      <c r="N287" s="3">
        <f t="shared" si="32"/>
        <v>4.7373258007476972E-2</v>
      </c>
      <c r="O287" s="3"/>
      <c r="P287" s="3"/>
    </row>
    <row r="288" spans="4:16" x14ac:dyDescent="0.25">
      <c r="D288" s="2">
        <v>35118</v>
      </c>
      <c r="E288" s="3">
        <f t="shared" ref="E288:N288" si="33">LN(E54/E35)</f>
        <v>4.1549002912872481E-2</v>
      </c>
      <c r="F288" s="3">
        <f t="shared" si="33"/>
        <v>4.7067510857985731E-2</v>
      </c>
      <c r="G288" s="3">
        <f t="shared" si="33"/>
        <v>8.0813183094962937E-2</v>
      </c>
      <c r="H288" s="3">
        <f t="shared" si="33"/>
        <v>0.11973807049218675</v>
      </c>
      <c r="I288" s="3">
        <f t="shared" si="33"/>
        <v>0.11373832551208975</v>
      </c>
      <c r="J288" s="3">
        <f t="shared" si="33"/>
        <v>0.10077965560886018</v>
      </c>
      <c r="K288" s="3">
        <f t="shared" si="33"/>
        <v>8.3242710404207304E-2</v>
      </c>
      <c r="L288" s="3">
        <f t="shared" si="33"/>
        <v>6.8542319553220141E-2</v>
      </c>
      <c r="M288" s="3">
        <f t="shared" si="33"/>
        <v>5.7417581911892973E-2</v>
      </c>
      <c r="N288" s="3">
        <f t="shared" si="33"/>
        <v>4.4588477315731935E-2</v>
      </c>
      <c r="O288" s="3"/>
      <c r="P288" s="3"/>
    </row>
    <row r="289" spans="4:16" x14ac:dyDescent="0.25">
      <c r="D289" s="2">
        <v>35121</v>
      </c>
      <c r="E289" s="3">
        <f t="shared" ref="E289:N289" si="34">LN(E55/E36)</f>
        <v>1.9920977494554567E-2</v>
      </c>
      <c r="F289" s="3">
        <f t="shared" si="34"/>
        <v>4.3143946001848295E-2</v>
      </c>
      <c r="G289" s="3">
        <f t="shared" si="34"/>
        <v>7.2969019866591017E-2</v>
      </c>
      <c r="H289" s="3">
        <f t="shared" si="34"/>
        <v>0.1088631462090283</v>
      </c>
      <c r="I289" s="3">
        <f t="shared" si="34"/>
        <v>9.5482015873138509E-2</v>
      </c>
      <c r="J289" s="3">
        <f t="shared" si="34"/>
        <v>8.3236933012872771E-2</v>
      </c>
      <c r="K289" s="3">
        <f t="shared" si="34"/>
        <v>6.8076071056015292E-2</v>
      </c>
      <c r="L289" s="3">
        <f t="shared" si="34"/>
        <v>5.0623053075596627E-2</v>
      </c>
      <c r="M289" s="3">
        <f t="shared" si="34"/>
        <v>4.2174925050712714E-2</v>
      </c>
      <c r="N289" s="3">
        <f t="shared" si="34"/>
        <v>3.0677252247047041E-2</v>
      </c>
      <c r="O289" s="3"/>
      <c r="P289" s="3"/>
    </row>
    <row r="290" spans="4:16" x14ac:dyDescent="0.25">
      <c r="D290" s="2">
        <v>35122</v>
      </c>
      <c r="E290" s="3">
        <f t="shared" ref="E290:N290" si="35">LN(E56/E37)</f>
        <v>2.3810648693718392E-2</v>
      </c>
      <c r="F290" s="3">
        <f t="shared" si="35"/>
        <v>4.7067510857985731E-2</v>
      </c>
      <c r="G290" s="3">
        <f t="shared" si="35"/>
        <v>6.8860849571121749E-2</v>
      </c>
      <c r="H290" s="3">
        <f t="shared" si="35"/>
        <v>0.10265415406008337</v>
      </c>
      <c r="I290" s="3">
        <f t="shared" si="35"/>
        <v>9.3090423066011826E-2</v>
      </c>
      <c r="J290" s="3">
        <f t="shared" si="35"/>
        <v>8.4460163780259195E-2</v>
      </c>
      <c r="K290" s="3">
        <f t="shared" si="35"/>
        <v>6.7738523868242001E-2</v>
      </c>
      <c r="L290" s="3">
        <f t="shared" si="35"/>
        <v>5.0294459611650008E-2</v>
      </c>
      <c r="M290" s="3">
        <f t="shared" si="35"/>
        <v>3.8985446712953592E-2</v>
      </c>
      <c r="N290" s="3">
        <f t="shared" si="35"/>
        <v>3.0536723860081702E-2</v>
      </c>
      <c r="O290" s="3"/>
      <c r="P290" s="3"/>
    </row>
    <row r="291" spans="4:16" x14ac:dyDescent="0.25">
      <c r="D291" s="2">
        <v>35123</v>
      </c>
      <c r="E291" s="3">
        <f t="shared" ref="E291:N291" si="36">LN(E57/E38)</f>
        <v>2.3669744085904703E-2</v>
      </c>
      <c r="F291" s="3">
        <f t="shared" si="36"/>
        <v>2.7506645789833729E-2</v>
      </c>
      <c r="G291" s="3">
        <f t="shared" si="36"/>
        <v>4.9533935122276627E-2</v>
      </c>
      <c r="H291" s="3">
        <f t="shared" si="36"/>
        <v>7.4784150420069431E-2</v>
      </c>
      <c r="I291" s="3">
        <f t="shared" si="36"/>
        <v>7.1331478005429549E-2</v>
      </c>
      <c r="J291" s="3">
        <f t="shared" si="36"/>
        <v>6.3650027076456006E-2</v>
      </c>
      <c r="K291" s="3">
        <f t="shared" si="36"/>
        <v>4.9596941139371978E-2</v>
      </c>
      <c r="L291" s="3">
        <f t="shared" si="36"/>
        <v>3.2470385030784032E-2</v>
      </c>
      <c r="M291" s="3">
        <f t="shared" si="36"/>
        <v>2.7069321968218124E-2</v>
      </c>
      <c r="N291" s="3">
        <f t="shared" si="36"/>
        <v>1.6858636824416611E-2</v>
      </c>
      <c r="O291" s="3"/>
      <c r="P291" s="3"/>
    </row>
    <row r="292" spans="4:16" x14ac:dyDescent="0.25">
      <c r="D292" s="2">
        <v>35124</v>
      </c>
      <c r="E292" s="3">
        <f t="shared" ref="E292:N292" si="37">LN(E58/E39)</f>
        <v>2.3669744085904703E-2</v>
      </c>
      <c r="F292" s="3">
        <f t="shared" si="37"/>
        <v>2.5416812984123256E-2</v>
      </c>
      <c r="G292" s="3">
        <f t="shared" si="37"/>
        <v>3.0190972279145731E-2</v>
      </c>
      <c r="H292" s="3">
        <f t="shared" si="37"/>
        <v>5.2029671445862437E-2</v>
      </c>
      <c r="I292" s="3">
        <f t="shared" si="37"/>
        <v>5.473563857852351E-2</v>
      </c>
      <c r="J292" s="3">
        <f t="shared" si="37"/>
        <v>4.6043938501406798E-2</v>
      </c>
      <c r="K292" s="3">
        <f t="shared" si="37"/>
        <v>3.61881592919941E-2</v>
      </c>
      <c r="L292" s="3">
        <f t="shared" si="37"/>
        <v>2.2654690564806176E-2</v>
      </c>
      <c r="M292" s="3">
        <f t="shared" si="37"/>
        <v>2.2540398319410567E-2</v>
      </c>
      <c r="N292" s="3">
        <f t="shared" si="37"/>
        <v>1.6832838150232489E-2</v>
      </c>
      <c r="O292" s="3"/>
      <c r="P292" s="3"/>
    </row>
    <row r="293" spans="4:16" x14ac:dyDescent="0.25">
      <c r="D293" s="2">
        <v>35125</v>
      </c>
      <c r="E293" s="3">
        <f t="shared" ref="E293:N293" si="38">LN(E59/E40)</f>
        <v>2.9442754816699911E-2</v>
      </c>
      <c r="F293" s="3">
        <f t="shared" si="38"/>
        <v>2.7345453890528837E-2</v>
      </c>
      <c r="G293" s="3">
        <f t="shared" si="38"/>
        <v>4.1204330598321029E-2</v>
      </c>
      <c r="H293" s="3">
        <f t="shared" si="38"/>
        <v>6.5801509995968482E-2</v>
      </c>
      <c r="I293" s="3">
        <f t="shared" si="38"/>
        <v>6.4426104747143109E-2</v>
      </c>
      <c r="J293" s="3">
        <f t="shared" si="38"/>
        <v>6.5846565797586534E-2</v>
      </c>
      <c r="K293" s="3">
        <f t="shared" si="38"/>
        <v>5.0458221270129035E-2</v>
      </c>
      <c r="L293" s="3">
        <f t="shared" si="38"/>
        <v>3.3684018501014552E-2</v>
      </c>
      <c r="M293" s="3">
        <f t="shared" si="38"/>
        <v>4.0273899137939898E-2</v>
      </c>
      <c r="N293" s="3">
        <f t="shared" si="38"/>
        <v>3.0397477184370948E-2</v>
      </c>
      <c r="O293" s="3"/>
      <c r="P293" s="3"/>
    </row>
    <row r="294" spans="4:16" x14ac:dyDescent="0.25">
      <c r="D294" s="2">
        <v>35128</v>
      </c>
      <c r="E294" s="3">
        <f t="shared" ref="E294:N294" si="39">LN(E60/E41)</f>
        <v>4.1303806141235792E-2</v>
      </c>
      <c r="F294" s="3">
        <f t="shared" si="39"/>
        <v>5.7045946877000341E-2</v>
      </c>
      <c r="G294" s="3">
        <f t="shared" si="39"/>
        <v>7.7764283356832345E-2</v>
      </c>
      <c r="H294" s="3">
        <f t="shared" si="39"/>
        <v>0.11142573516091707</v>
      </c>
      <c r="I294" s="3">
        <f t="shared" si="39"/>
        <v>0.10369245855712919</v>
      </c>
      <c r="J294" s="3">
        <f t="shared" si="39"/>
        <v>0.10178269430994238</v>
      </c>
      <c r="K294" s="3">
        <f t="shared" si="39"/>
        <v>8.5018493767777259E-2</v>
      </c>
      <c r="L294" s="3">
        <f t="shared" si="39"/>
        <v>6.776785880522064E-2</v>
      </c>
      <c r="M294" s="3">
        <f t="shared" si="39"/>
        <v>6.2800901239030441E-2</v>
      </c>
      <c r="N294" s="3">
        <f t="shared" si="39"/>
        <v>5.3407046299938039E-2</v>
      </c>
      <c r="O294" s="3"/>
      <c r="P294" s="3"/>
    </row>
    <row r="295" spans="4:16" x14ac:dyDescent="0.25">
      <c r="D295" s="2">
        <v>35129</v>
      </c>
      <c r="E295" s="3">
        <f t="shared" ref="E295:N295" si="40">LN(E61/E42)</f>
        <v>2.1675725479040321E-2</v>
      </c>
      <c r="F295" s="3">
        <f t="shared" si="40"/>
        <v>4.3228734550820005E-2</v>
      </c>
      <c r="G295" s="3">
        <f t="shared" si="40"/>
        <v>7.4819159154752471E-2</v>
      </c>
      <c r="H295" s="3">
        <f t="shared" si="40"/>
        <v>0.10555243581962831</v>
      </c>
      <c r="I295" s="3">
        <f t="shared" si="40"/>
        <v>0.10517252806445379</v>
      </c>
      <c r="J295" s="3">
        <f t="shared" si="40"/>
        <v>9.9910910890261648E-2</v>
      </c>
      <c r="K295" s="3">
        <f t="shared" si="40"/>
        <v>8.6145950713200747E-2</v>
      </c>
      <c r="L295" s="3">
        <f t="shared" si="40"/>
        <v>6.8542319553220141E-2</v>
      </c>
      <c r="M295" s="3">
        <f t="shared" si="40"/>
        <v>6.0350135333170636E-2</v>
      </c>
      <c r="N295" s="3">
        <f t="shared" si="40"/>
        <v>5.0741091478397907E-2</v>
      </c>
      <c r="O295" s="3"/>
      <c r="P295" s="3"/>
    </row>
    <row r="296" spans="4:16" x14ac:dyDescent="0.25">
      <c r="D296" s="2">
        <v>35130</v>
      </c>
      <c r="E296" s="3">
        <f t="shared" ref="E296:N296" si="41">LN(E62/E43)</f>
        <v>3.5228691883744029E-2</v>
      </c>
      <c r="F296" s="3">
        <f t="shared" si="41"/>
        <v>4.8695111652845048E-2</v>
      </c>
      <c r="G296" s="3">
        <f t="shared" si="41"/>
        <v>6.4908275255298256E-2</v>
      </c>
      <c r="H296" s="3">
        <f t="shared" si="41"/>
        <v>9.2206193866733635E-2</v>
      </c>
      <c r="I296" s="3">
        <f t="shared" si="41"/>
        <v>9.0246877847778031E-2</v>
      </c>
      <c r="J296" s="3">
        <f t="shared" si="41"/>
        <v>8.3881483980702234E-2</v>
      </c>
      <c r="K296" s="3">
        <f t="shared" si="41"/>
        <v>7.2639183639971697E-2</v>
      </c>
      <c r="L296" s="3">
        <f t="shared" si="41"/>
        <v>5.7065195475863396E-2</v>
      </c>
      <c r="M296" s="3">
        <f t="shared" si="41"/>
        <v>5.1138961491187414E-2</v>
      </c>
      <c r="N296" s="3">
        <f t="shared" si="41"/>
        <v>4.1385216162854489E-2</v>
      </c>
      <c r="O296" s="3"/>
      <c r="P296" s="3"/>
    </row>
    <row r="297" spans="4:16" x14ac:dyDescent="0.25">
      <c r="D297" s="2">
        <v>35131</v>
      </c>
      <c r="E297" s="3">
        <f t="shared" ref="E297:N297" si="42">LN(E63/E44)</f>
        <v>2.5516595381823524E-2</v>
      </c>
      <c r="F297" s="3">
        <f t="shared" si="42"/>
        <v>3.8839833316263957E-2</v>
      </c>
      <c r="G297" s="3">
        <f t="shared" si="42"/>
        <v>5.8673401685173245E-2</v>
      </c>
      <c r="H297" s="3">
        <f t="shared" si="42"/>
        <v>6.8495235248764358E-2</v>
      </c>
      <c r="I297" s="3">
        <f t="shared" si="42"/>
        <v>6.7044502628997055E-2</v>
      </c>
      <c r="J297" s="3">
        <f t="shared" si="42"/>
        <v>5.8136026587669719E-2</v>
      </c>
      <c r="K297" s="3">
        <f t="shared" si="42"/>
        <v>4.9352119789727901E-2</v>
      </c>
      <c r="L297" s="3">
        <f t="shared" si="42"/>
        <v>3.2523191705560145E-2</v>
      </c>
      <c r="M297" s="3">
        <f t="shared" si="42"/>
        <v>3.4563921455076127E-2</v>
      </c>
      <c r="N297" s="3">
        <f t="shared" si="42"/>
        <v>2.7566829832654592E-2</v>
      </c>
      <c r="O297" s="3"/>
      <c r="P297" s="3"/>
    </row>
    <row r="298" spans="4:16" x14ac:dyDescent="0.25">
      <c r="D298" s="2">
        <v>35132</v>
      </c>
      <c r="E298" s="3">
        <f t="shared" ref="E298:N298" si="43">LN(E64/E45)</f>
        <v>2.357673056399702E-2</v>
      </c>
      <c r="F298" s="3">
        <f t="shared" si="43"/>
        <v>3.6861593304158204E-2</v>
      </c>
      <c r="G298" s="3">
        <f t="shared" si="43"/>
        <v>6.0395710289739932E-2</v>
      </c>
      <c r="H298" s="3">
        <f t="shared" si="43"/>
        <v>6.627312694977941E-2</v>
      </c>
      <c r="I298" s="3">
        <f t="shared" si="43"/>
        <v>6.3068182129251846E-2</v>
      </c>
      <c r="J298" s="3">
        <f t="shared" si="43"/>
        <v>5.9490776413304282E-2</v>
      </c>
      <c r="K298" s="3">
        <f t="shared" si="43"/>
        <v>4.9109704034748645E-2</v>
      </c>
      <c r="L298" s="3">
        <f t="shared" si="43"/>
        <v>3.2417749573422319E-2</v>
      </c>
      <c r="M298" s="3">
        <f t="shared" si="43"/>
        <v>3.593200922606337E-2</v>
      </c>
      <c r="N298" s="3">
        <f t="shared" si="43"/>
        <v>2.5975486403260736E-2</v>
      </c>
      <c r="O298" s="3"/>
      <c r="P298" s="3"/>
    </row>
    <row r="299" spans="4:16" x14ac:dyDescent="0.25">
      <c r="D299" s="2">
        <v>35135</v>
      </c>
      <c r="E299" s="3">
        <f t="shared" ref="E299:N299" si="44">LN(E65/E46)</f>
        <v>1.9763489118839718E-2</v>
      </c>
      <c r="F299" s="3">
        <f t="shared" si="44"/>
        <v>9.5694510161506725E-3</v>
      </c>
      <c r="G299" s="3">
        <f t="shared" si="44"/>
        <v>1.6559716039018558E-2</v>
      </c>
      <c r="H299" s="3">
        <f t="shared" si="44"/>
        <v>1.7301469635752652E-2</v>
      </c>
      <c r="I299" s="3">
        <f t="shared" si="44"/>
        <v>1.1834457647002798E-2</v>
      </c>
      <c r="J299" s="3">
        <f t="shared" si="44"/>
        <v>1.1503824481484713E-2</v>
      </c>
      <c r="K299" s="3">
        <f t="shared" si="44"/>
        <v>6.3492276786587445E-3</v>
      </c>
      <c r="L299" s="3">
        <f t="shared" si="44"/>
        <v>-1.2559034776493909E-2</v>
      </c>
      <c r="M299" s="3">
        <f t="shared" si="44"/>
        <v>-1.4630580517603286E-3</v>
      </c>
      <c r="N299" s="3">
        <f t="shared" si="44"/>
        <v>-5.9880418446225572E-3</v>
      </c>
      <c r="O299" s="3"/>
      <c r="P299" s="3"/>
    </row>
    <row r="300" spans="4:16" x14ac:dyDescent="0.25">
      <c r="D300" s="2">
        <v>35136</v>
      </c>
      <c r="E300" s="3">
        <f t="shared" ref="E300:N300" si="45">LN(E66/E47)</f>
        <v>1.1718884113213479E-2</v>
      </c>
      <c r="F300" s="3">
        <f t="shared" si="45"/>
        <v>3.4158918811319078E-2</v>
      </c>
      <c r="G300" s="3">
        <f t="shared" si="45"/>
        <v>4.5421067977906057E-2</v>
      </c>
      <c r="H300" s="3">
        <f t="shared" si="45"/>
        <v>6.4429058053886684E-2</v>
      </c>
      <c r="I300" s="3">
        <f t="shared" si="45"/>
        <v>5.9620303162166641E-2</v>
      </c>
      <c r="J300" s="3">
        <f t="shared" si="45"/>
        <v>6.4538521137571164E-2</v>
      </c>
      <c r="K300" s="3">
        <f t="shared" si="45"/>
        <v>5.1533650115182877E-2</v>
      </c>
      <c r="L300" s="3">
        <f t="shared" si="45"/>
        <v>3.7213596340434273E-2</v>
      </c>
      <c r="M300" s="3">
        <f t="shared" si="45"/>
        <v>3.631481099162602E-2</v>
      </c>
      <c r="N300" s="3">
        <f t="shared" si="45"/>
        <v>2.9719869384927666E-2</v>
      </c>
      <c r="O300" s="3"/>
      <c r="P300" s="3"/>
    </row>
    <row r="301" spans="4:16" x14ac:dyDescent="0.25">
      <c r="D301" s="2">
        <v>35137</v>
      </c>
      <c r="E301" s="3">
        <f t="shared" ref="E301:N301" si="46">LN(E67/E48)</f>
        <v>1.3658748931040044E-2</v>
      </c>
      <c r="F301" s="3">
        <f t="shared" si="46"/>
        <v>3.7811687743108426E-2</v>
      </c>
      <c r="G301" s="3">
        <f t="shared" si="46"/>
        <v>4.6940024881270491E-2</v>
      </c>
      <c r="H301" s="3">
        <f t="shared" si="46"/>
        <v>5.5523090499217942E-2</v>
      </c>
      <c r="I301" s="3">
        <f t="shared" si="46"/>
        <v>5.7439905748914888E-2</v>
      </c>
      <c r="J301" s="3">
        <f t="shared" si="46"/>
        <v>6.7225305847786923E-2</v>
      </c>
      <c r="K301" s="3">
        <f t="shared" si="46"/>
        <v>5.2725389468809419E-2</v>
      </c>
      <c r="L301" s="3">
        <f t="shared" si="46"/>
        <v>4.1576426845740193E-2</v>
      </c>
      <c r="M301" s="3">
        <f t="shared" si="46"/>
        <v>4.0409538337876701E-2</v>
      </c>
      <c r="N301" s="3">
        <f t="shared" si="46"/>
        <v>3.2499167392954553E-2</v>
      </c>
      <c r="O301" s="3"/>
      <c r="P301" s="3"/>
    </row>
    <row r="302" spans="4:16" x14ac:dyDescent="0.25">
      <c r="D302" s="2">
        <v>35138</v>
      </c>
      <c r="E302" s="3">
        <f t="shared" ref="E302:N302" si="47">LN(E68/E49)</f>
        <v>1.9627091678486889E-3</v>
      </c>
      <c r="F302" s="3">
        <f t="shared" si="47"/>
        <v>2.6668247082161489E-2</v>
      </c>
      <c r="G302" s="3">
        <f t="shared" si="47"/>
        <v>3.8221212820197671E-2</v>
      </c>
      <c r="H302" s="3">
        <f t="shared" si="47"/>
        <v>5.5994269354574785E-2</v>
      </c>
      <c r="I302" s="3">
        <f t="shared" si="47"/>
        <v>5.8011292356466043E-2</v>
      </c>
      <c r="J302" s="3">
        <f t="shared" si="47"/>
        <v>5.4852458844977872E-2</v>
      </c>
      <c r="K302" s="3">
        <f t="shared" si="47"/>
        <v>4.3620622475890353E-2</v>
      </c>
      <c r="L302" s="3">
        <f t="shared" si="47"/>
        <v>3.2535790051397381E-2</v>
      </c>
      <c r="M302" s="3">
        <f t="shared" si="47"/>
        <v>3.0283496587252365E-2</v>
      </c>
      <c r="N302" s="3">
        <f t="shared" si="47"/>
        <v>2.3669744085904703E-2</v>
      </c>
      <c r="O302" s="3"/>
      <c r="P302" s="3"/>
    </row>
    <row r="303" spans="4:16" x14ac:dyDescent="0.25">
      <c r="D303" s="2">
        <v>35139</v>
      </c>
      <c r="E303" s="3">
        <f t="shared" ref="E303:N303" si="48">LN(E69/E50)</f>
        <v>-5.8881426252225975E-3</v>
      </c>
      <c r="F303" s="3">
        <f t="shared" si="48"/>
        <v>2.8655255760375933E-2</v>
      </c>
      <c r="G303" s="3">
        <f t="shared" si="48"/>
        <v>4.7195691336274527E-2</v>
      </c>
      <c r="H303" s="3">
        <f t="shared" si="48"/>
        <v>6.7822596338761088E-2</v>
      </c>
      <c r="I303" s="3">
        <f t="shared" si="48"/>
        <v>6.6249385541200662E-2</v>
      </c>
      <c r="J303" s="3">
        <f t="shared" si="48"/>
        <v>6.5781529377168191E-2</v>
      </c>
      <c r="K303" s="3">
        <f t="shared" si="48"/>
        <v>5.423482371766377E-2</v>
      </c>
      <c r="L303" s="3">
        <f t="shared" si="48"/>
        <v>4.1576426845740193E-2</v>
      </c>
      <c r="M303" s="3">
        <f t="shared" si="48"/>
        <v>3.8770110464571017E-2</v>
      </c>
      <c r="N303" s="3">
        <f t="shared" si="48"/>
        <v>3.3851650231024245E-2</v>
      </c>
      <c r="O303" s="3"/>
      <c r="P303" s="3"/>
    </row>
    <row r="304" spans="4:16" x14ac:dyDescent="0.25">
      <c r="D304" s="2">
        <v>35142</v>
      </c>
      <c r="E304" s="3">
        <f t="shared" ref="E304:N304" si="49">LN(E70/E51)</f>
        <v>-1.1741817876683174E-2</v>
      </c>
      <c r="F304" s="3">
        <f t="shared" si="49"/>
        <v>1.5151805020602246E-2</v>
      </c>
      <c r="G304" s="3">
        <f t="shared" si="49"/>
        <v>2.5090921993526586E-2</v>
      </c>
      <c r="H304" s="3">
        <f t="shared" si="49"/>
        <v>4.1707462684229556E-2</v>
      </c>
      <c r="I304" s="3">
        <f t="shared" si="49"/>
        <v>5.1875487608968561E-2</v>
      </c>
      <c r="J304" s="3">
        <f t="shared" si="49"/>
        <v>4.8867090205086672E-2</v>
      </c>
      <c r="K304" s="3">
        <f t="shared" si="49"/>
        <v>4.2819997182928143E-2</v>
      </c>
      <c r="L304" s="3">
        <f t="shared" si="49"/>
        <v>3.3488669754043826E-2</v>
      </c>
      <c r="M304" s="3">
        <f t="shared" si="49"/>
        <v>3.5590945102702533E-2</v>
      </c>
      <c r="N304" s="3">
        <f t="shared" si="49"/>
        <v>2.919915469226235E-2</v>
      </c>
      <c r="O304" s="3"/>
      <c r="P304" s="3"/>
    </row>
    <row r="305" spans="4:16" x14ac:dyDescent="0.25">
      <c r="D305" s="2">
        <v>35143</v>
      </c>
      <c r="E305" s="3">
        <f t="shared" ref="E305:N305" si="50">LN(E71/E52)</f>
        <v>-1.9531870917245842E-2</v>
      </c>
      <c r="F305" s="3">
        <f t="shared" si="50"/>
        <v>1.8957351648991973E-3</v>
      </c>
      <c r="G305" s="3">
        <f t="shared" si="50"/>
        <v>3.623192369420331E-3</v>
      </c>
      <c r="H305" s="3">
        <f t="shared" si="50"/>
        <v>1.1814483413763056E-2</v>
      </c>
      <c r="I305" s="3">
        <f t="shared" si="50"/>
        <v>1.6474837203505042E-2</v>
      </c>
      <c r="J305" s="3">
        <f t="shared" si="50"/>
        <v>2.4058899007693375E-2</v>
      </c>
      <c r="K305" s="3">
        <f t="shared" si="50"/>
        <v>1.7094433359300255E-2</v>
      </c>
      <c r="L305" s="3">
        <f t="shared" si="50"/>
        <v>1.3899837689033518E-2</v>
      </c>
      <c r="M305" s="3">
        <f t="shared" si="50"/>
        <v>2.0202707317519469E-2</v>
      </c>
      <c r="N305" s="3">
        <f t="shared" si="50"/>
        <v>1.4793169177830511E-2</v>
      </c>
      <c r="O305" s="3"/>
      <c r="P305" s="3"/>
    </row>
    <row r="306" spans="4:16" x14ac:dyDescent="0.25">
      <c r="D306" s="2">
        <v>35144</v>
      </c>
      <c r="E306" s="3">
        <f t="shared" ref="E306:N306" si="51">LN(E72/E53)</f>
        <v>-4.3313857069260081E-2</v>
      </c>
      <c r="F306" s="3">
        <f t="shared" si="51"/>
        <v>-9.5511709843428567E-3</v>
      </c>
      <c r="G306" s="3">
        <f t="shared" si="51"/>
        <v>0</v>
      </c>
      <c r="H306" s="3">
        <f t="shared" si="51"/>
        <v>1.3582551765868912E-2</v>
      </c>
      <c r="I306" s="3">
        <f t="shared" si="51"/>
        <v>1.326719294404886E-2</v>
      </c>
      <c r="J306" s="3">
        <f t="shared" si="51"/>
        <v>1.9324272826402623E-2</v>
      </c>
      <c r="K306" s="3">
        <f t="shared" si="51"/>
        <v>1.7174504889910215E-2</v>
      </c>
      <c r="L306" s="3">
        <f t="shared" si="51"/>
        <v>9.3168375802305387E-3</v>
      </c>
      <c r="M306" s="3">
        <f t="shared" si="51"/>
        <v>1.7341475036487173E-2</v>
      </c>
      <c r="N306" s="3">
        <f t="shared" si="51"/>
        <v>1.3343415173684356E-2</v>
      </c>
      <c r="O306" s="3"/>
      <c r="P306" s="3"/>
    </row>
    <row r="307" spans="4:16" x14ac:dyDescent="0.25">
      <c r="D307" s="2">
        <v>35145</v>
      </c>
      <c r="E307" s="3">
        <f t="shared" ref="E307:N307" si="52">LN(E73/E54)</f>
        <v>-4.154900291287239E-2</v>
      </c>
      <c r="F307" s="3">
        <f t="shared" si="52"/>
        <v>-1.9175461292717062E-3</v>
      </c>
      <c r="G307" s="3">
        <f t="shared" si="52"/>
        <v>1.2856008101533955E-2</v>
      </c>
      <c r="H307" s="3">
        <f t="shared" si="52"/>
        <v>2.570835671020703E-2</v>
      </c>
      <c r="I307" s="3">
        <f t="shared" si="52"/>
        <v>3.3560196492301686E-2</v>
      </c>
      <c r="J307" s="3">
        <f t="shared" si="52"/>
        <v>3.7311708437357177E-2</v>
      </c>
      <c r="K307" s="3">
        <f t="shared" si="52"/>
        <v>3.1449132682503295E-2</v>
      </c>
      <c r="L307" s="3">
        <f t="shared" si="52"/>
        <v>2.1841741915048854E-2</v>
      </c>
      <c r="M307" s="3">
        <f t="shared" si="52"/>
        <v>2.0349539415279921E-2</v>
      </c>
      <c r="N307" s="3">
        <f t="shared" si="52"/>
        <v>1.9360247284541394E-2</v>
      </c>
      <c r="O307" s="3"/>
      <c r="P307" s="3"/>
    </row>
    <row r="308" spans="4:16" x14ac:dyDescent="0.25">
      <c r="D308" s="2">
        <v>35146</v>
      </c>
      <c r="E308" s="3">
        <f t="shared" ref="E308:N308" si="53">LN(E74/E55)</f>
        <v>-2.1935076866255794E-2</v>
      </c>
      <c r="F308" s="3">
        <f t="shared" si="53"/>
        <v>5.7416425676751828E-3</v>
      </c>
      <c r="G308" s="3">
        <f t="shared" si="53"/>
        <v>2.3788861964014793E-2</v>
      </c>
      <c r="H308" s="3">
        <f t="shared" si="53"/>
        <v>4.1101675685551987E-2</v>
      </c>
      <c r="I308" s="3">
        <f t="shared" si="53"/>
        <v>5.0261834780888297E-2</v>
      </c>
      <c r="J308" s="3">
        <f t="shared" si="53"/>
        <v>5.1875487608968561E-2</v>
      </c>
      <c r="K308" s="3">
        <f t="shared" si="53"/>
        <v>4.0886197916636766E-2</v>
      </c>
      <c r="L308" s="3">
        <f t="shared" si="53"/>
        <v>3.750439545845427E-2</v>
      </c>
      <c r="M308" s="3">
        <f t="shared" si="53"/>
        <v>3.0503454293414625E-2</v>
      </c>
      <c r="N308" s="3">
        <f t="shared" si="53"/>
        <v>2.8296750212504086E-2</v>
      </c>
      <c r="O308" s="3"/>
      <c r="P308" s="3"/>
    </row>
    <row r="309" spans="4:16" x14ac:dyDescent="0.25">
      <c r="D309" s="2">
        <v>35149</v>
      </c>
      <c r="E309" s="3">
        <f t="shared" ref="E309:N309" si="54">LN(E75/E56)</f>
        <v>-2.3810648693718333E-2</v>
      </c>
      <c r="F309" s="3">
        <f t="shared" si="54"/>
        <v>7.6336248550712051E-3</v>
      </c>
      <c r="G309" s="3">
        <f t="shared" si="54"/>
        <v>2.7349015404100764E-2</v>
      </c>
      <c r="H309" s="3">
        <f t="shared" si="54"/>
        <v>4.7628048989254448E-2</v>
      </c>
      <c r="I309" s="3">
        <f t="shared" si="54"/>
        <v>5.4876610225834302E-2</v>
      </c>
      <c r="J309" s="3">
        <f t="shared" si="54"/>
        <v>5.4675996346693415E-2</v>
      </c>
      <c r="K309" s="3">
        <f t="shared" si="54"/>
        <v>4.6810417843990579E-2</v>
      </c>
      <c r="L309" s="3">
        <f t="shared" si="54"/>
        <v>4.0315537178459773E-2</v>
      </c>
      <c r="M309" s="3">
        <f t="shared" si="54"/>
        <v>3.1840605855658628E-2</v>
      </c>
      <c r="N309" s="3">
        <f t="shared" si="54"/>
        <v>2.8170876966696224E-2</v>
      </c>
      <c r="O309" s="3"/>
      <c r="P309" s="3"/>
    </row>
    <row r="310" spans="4:16" x14ac:dyDescent="0.25">
      <c r="D310" s="2">
        <v>35150</v>
      </c>
      <c r="E310" s="3">
        <f t="shared" ref="E310:N310" si="55">LN(E76/E57)</f>
        <v>-2.3669744085904734E-2</v>
      </c>
      <c r="F310" s="3">
        <f t="shared" si="55"/>
        <v>1.5384918839479456E-2</v>
      </c>
      <c r="G310" s="3">
        <f t="shared" si="55"/>
        <v>2.2059718064732257E-2</v>
      </c>
      <c r="H310" s="3">
        <f t="shared" si="55"/>
        <v>4.4680971419298735E-2</v>
      </c>
      <c r="I310" s="3">
        <f t="shared" si="55"/>
        <v>4.8708200315445718E-2</v>
      </c>
      <c r="J310" s="3">
        <f t="shared" si="55"/>
        <v>5.1959738930711166E-2</v>
      </c>
      <c r="K310" s="3">
        <f t="shared" si="55"/>
        <v>4.4171218313137459E-2</v>
      </c>
      <c r="L310" s="3">
        <f t="shared" si="55"/>
        <v>4.2226758176332702E-2</v>
      </c>
      <c r="M310" s="3">
        <f t="shared" si="55"/>
        <v>3.785022413109753E-2</v>
      </c>
      <c r="N310" s="3">
        <f t="shared" si="55"/>
        <v>3.288786684483521E-2</v>
      </c>
      <c r="O310" s="3"/>
      <c r="P310" s="3"/>
    </row>
    <row r="311" spans="4:16" x14ac:dyDescent="0.25">
      <c r="D311" s="2">
        <v>35151</v>
      </c>
      <c r="E311" s="3">
        <f t="shared" ref="E311:N311" si="56">LN(E77/E58)</f>
        <v>-7.8278286202467916E-3</v>
      </c>
      <c r="F311" s="3">
        <f t="shared" si="56"/>
        <v>7.6923456231556449E-3</v>
      </c>
      <c r="G311" s="3">
        <f t="shared" si="56"/>
        <v>1.8416726786231286E-2</v>
      </c>
      <c r="H311" s="3">
        <f t="shared" si="56"/>
        <v>3.4367643504207818E-2</v>
      </c>
      <c r="I311" s="3">
        <f t="shared" si="56"/>
        <v>4.0409538337876486E-2</v>
      </c>
      <c r="J311" s="3">
        <f t="shared" si="56"/>
        <v>4.5610511252052274E-2</v>
      </c>
      <c r="K311" s="3">
        <f t="shared" si="56"/>
        <v>3.9593453419757556E-2</v>
      </c>
      <c r="L311" s="3">
        <f t="shared" si="56"/>
        <v>3.6139046615873353E-2</v>
      </c>
      <c r="M311" s="3">
        <f t="shared" si="56"/>
        <v>3.2166515920064212E-2</v>
      </c>
      <c r="N311" s="3">
        <f t="shared" si="56"/>
        <v>2.3989156370022576E-2</v>
      </c>
      <c r="O311" s="3"/>
      <c r="P311" s="3"/>
    </row>
    <row r="312" spans="4:16" x14ac:dyDescent="0.25">
      <c r="D312" s="2">
        <v>35152</v>
      </c>
      <c r="E312" s="3">
        <f t="shared" ref="E312:N312" si="57">LN(E78/E59)</f>
        <v>-1.3632148790057757E-2</v>
      </c>
      <c r="F312" s="3">
        <f t="shared" si="57"/>
        <v>7.677580899034332E-3</v>
      </c>
      <c r="G312" s="3">
        <f t="shared" si="57"/>
        <v>5.4894922847715149E-3</v>
      </c>
      <c r="H312" s="3">
        <f t="shared" si="57"/>
        <v>2.0443642145814352E-2</v>
      </c>
      <c r="I312" s="3">
        <f t="shared" si="57"/>
        <v>2.8264558169631422E-2</v>
      </c>
      <c r="J312" s="3">
        <f t="shared" si="57"/>
        <v>3.0573580028886969E-2</v>
      </c>
      <c r="K312" s="3">
        <f t="shared" si="57"/>
        <v>2.6626475115322099E-2</v>
      </c>
      <c r="L312" s="3">
        <f t="shared" si="57"/>
        <v>2.7995607489427074E-2</v>
      </c>
      <c r="M312" s="3">
        <f t="shared" si="57"/>
        <v>1.88274931379733E-2</v>
      </c>
      <c r="N312" s="3">
        <f t="shared" si="57"/>
        <v>1.4859114403749905E-2</v>
      </c>
      <c r="O312" s="3"/>
      <c r="P312" s="3"/>
    </row>
    <row r="313" spans="4:16" x14ac:dyDescent="0.25">
      <c r="D313" s="2">
        <v>35153</v>
      </c>
      <c r="E313" s="3">
        <f t="shared" ref="E313:N313" si="58">LN(E79/E60)</f>
        <v>-1.162803799511921E-2</v>
      </c>
      <c r="F313" s="3">
        <f t="shared" si="58"/>
        <v>1.9102202561192452E-3</v>
      </c>
      <c r="G313" s="3">
        <f t="shared" si="58"/>
        <v>5.459522204898753E-3</v>
      </c>
      <c r="H313" s="3">
        <f t="shared" si="58"/>
        <v>1.1834457647002798E-2</v>
      </c>
      <c r="I313" s="3">
        <f t="shared" si="58"/>
        <v>2.310333782076196E-2</v>
      </c>
      <c r="J313" s="3">
        <f t="shared" si="58"/>
        <v>2.2329476398088577E-2</v>
      </c>
      <c r="K313" s="3">
        <f t="shared" si="58"/>
        <v>2.0171358863779413E-2</v>
      </c>
      <c r="L313" s="3">
        <f t="shared" si="58"/>
        <v>2.465456156394058E-2</v>
      </c>
      <c r="M313" s="3">
        <f t="shared" si="58"/>
        <v>1.5816289443285007E-2</v>
      </c>
      <c r="N313" s="3">
        <f t="shared" si="58"/>
        <v>1.181697650478452E-2</v>
      </c>
      <c r="O313" s="3"/>
      <c r="P313" s="3"/>
    </row>
    <row r="314" spans="4:16" x14ac:dyDescent="0.25">
      <c r="D314" s="2">
        <v>35156</v>
      </c>
      <c r="E314" s="3">
        <f t="shared" ref="E314:N314" si="59">LN(E80/E61)</f>
        <v>-7.8278286202467916E-3</v>
      </c>
      <c r="F314" s="3">
        <f t="shared" si="59"/>
        <v>7.6628727455690972E-3</v>
      </c>
      <c r="G314" s="3">
        <f t="shared" si="59"/>
        <v>2.9145961080802432E-2</v>
      </c>
      <c r="H314" s="3">
        <f t="shared" si="59"/>
        <v>3.3959120542454153E-2</v>
      </c>
      <c r="I314" s="3">
        <f t="shared" si="59"/>
        <v>3.9806250400419789E-2</v>
      </c>
      <c r="J314" s="3">
        <f t="shared" si="59"/>
        <v>3.3846905373856241E-2</v>
      </c>
      <c r="K314" s="3">
        <f t="shared" si="59"/>
        <v>2.9712897318511733E-2</v>
      </c>
      <c r="L314" s="3">
        <f t="shared" si="59"/>
        <v>3.4111834506863122E-2</v>
      </c>
      <c r="M314" s="3">
        <f t="shared" si="59"/>
        <v>2.6013027463800083E-2</v>
      </c>
      <c r="N314" s="3">
        <f t="shared" si="59"/>
        <v>2.0772260233888642E-2</v>
      </c>
      <c r="O314" s="3"/>
      <c r="P314" s="3"/>
    </row>
    <row r="315" spans="4:16" x14ac:dyDescent="0.25">
      <c r="D315" s="2">
        <v>35157</v>
      </c>
      <c r="E315" s="3">
        <f t="shared" ref="E315:N315" si="60">LN(E81/E62)</f>
        <v>-1.7459221371768543E-2</v>
      </c>
      <c r="F315" s="3">
        <f t="shared" si="60"/>
        <v>-5.7197486727868412E-3</v>
      </c>
      <c r="G315" s="3">
        <f t="shared" si="60"/>
        <v>2.5548834899952876E-2</v>
      </c>
      <c r="H315" s="3">
        <f t="shared" si="60"/>
        <v>2.2204157311010372E-2</v>
      </c>
      <c r="I315" s="3">
        <f t="shared" si="60"/>
        <v>2.8358864560068711E-2</v>
      </c>
      <c r="J315" s="3">
        <f t="shared" si="60"/>
        <v>3.2312988990543461E-2</v>
      </c>
      <c r="K315" s="3">
        <f t="shared" si="60"/>
        <v>2.9806128032701829E-2</v>
      </c>
      <c r="L315" s="3">
        <f t="shared" si="60"/>
        <v>3.5801488915985613E-2</v>
      </c>
      <c r="M315" s="3">
        <f t="shared" si="60"/>
        <v>2.0320002490957528E-2</v>
      </c>
      <c r="N315" s="3">
        <f t="shared" si="60"/>
        <v>1.9331457018306939E-2</v>
      </c>
      <c r="O315" s="3"/>
      <c r="P315" s="3"/>
    </row>
    <row r="316" spans="4:16" x14ac:dyDescent="0.25">
      <c r="D316" s="2">
        <v>35158</v>
      </c>
      <c r="E316" s="3">
        <f t="shared" ref="E316:N316" si="61">LN(E82/E63)</f>
        <v>-3.8835000263977445E-3</v>
      </c>
      <c r="F316" s="3">
        <f t="shared" si="61"/>
        <v>5.6980211146377959E-3</v>
      </c>
      <c r="G316" s="3">
        <f t="shared" si="61"/>
        <v>2.3615993071341421E-2</v>
      </c>
      <c r="H316" s="3">
        <f t="shared" si="61"/>
        <v>4.0961357631065412E-2</v>
      </c>
      <c r="I316" s="3">
        <f t="shared" si="61"/>
        <v>4.50451463591987E-2</v>
      </c>
      <c r="J316" s="3">
        <f t="shared" si="61"/>
        <v>5.0212976835355208E-2</v>
      </c>
      <c r="K316" s="3">
        <f t="shared" si="61"/>
        <v>4.3963123421115989E-2</v>
      </c>
      <c r="L316" s="3">
        <f t="shared" si="61"/>
        <v>5.2971884766105724E-2</v>
      </c>
      <c r="M316" s="3">
        <f t="shared" si="61"/>
        <v>3.3409062131129832E-2</v>
      </c>
      <c r="N316" s="3">
        <f t="shared" si="61"/>
        <v>3.1229303633781867E-2</v>
      </c>
      <c r="O316" s="3"/>
      <c r="P316" s="3"/>
    </row>
    <row r="317" spans="4:16" x14ac:dyDescent="0.25">
      <c r="D317" s="2">
        <v>35159</v>
      </c>
      <c r="E317" s="3">
        <f t="shared" ref="E317:N317" si="62">LN(E83/E64)</f>
        <v>-1.9436352085711256E-3</v>
      </c>
      <c r="F317" s="3">
        <f t="shared" si="62"/>
        <v>9.4787439545437387E-3</v>
      </c>
      <c r="G317" s="3">
        <f t="shared" si="62"/>
        <v>2.8882874148786146E-2</v>
      </c>
      <c r="H317" s="3">
        <f t="shared" si="62"/>
        <v>4.4074930219085942E-2</v>
      </c>
      <c r="I317" s="3">
        <f t="shared" si="62"/>
        <v>4.9679089033009431E-2</v>
      </c>
      <c r="J317" s="3">
        <f t="shared" si="62"/>
        <v>5.4588190284403204E-2</v>
      </c>
      <c r="K317" s="3">
        <f t="shared" si="62"/>
        <v>4.9854560225218676E-2</v>
      </c>
      <c r="L317" s="3">
        <f t="shared" si="62"/>
        <v>6.0343129907468436E-2</v>
      </c>
      <c r="M317" s="3">
        <f t="shared" si="62"/>
        <v>3.752243932308956E-2</v>
      </c>
      <c r="N317" s="3">
        <f t="shared" si="62"/>
        <v>3.8466280827795928E-2</v>
      </c>
      <c r="O317" s="3"/>
      <c r="P317" s="3"/>
    </row>
    <row r="318" spans="4:16" x14ac:dyDescent="0.25">
      <c r="D318" s="2">
        <v>35160</v>
      </c>
      <c r="E318" s="3">
        <f t="shared" ref="E318:N318" si="63">LN(E84/E65)</f>
        <v>0</v>
      </c>
      <c r="F318" s="3">
        <f t="shared" si="63"/>
        <v>7.5901692666756528E-3</v>
      </c>
      <c r="G318" s="3">
        <f t="shared" si="63"/>
        <v>2.1661496781179249E-2</v>
      </c>
      <c r="H318" s="3">
        <f t="shared" si="63"/>
        <v>3.3730010376693001E-2</v>
      </c>
      <c r="I318" s="3">
        <f t="shared" si="63"/>
        <v>3.9543867138966418E-2</v>
      </c>
      <c r="J318" s="3">
        <f t="shared" si="63"/>
        <v>4.3172171865208574E-2</v>
      </c>
      <c r="K318" s="3">
        <f t="shared" si="63"/>
        <v>4.0315537178459773E-2</v>
      </c>
      <c r="L318" s="3">
        <f t="shared" si="63"/>
        <v>5.3817751392469415E-2</v>
      </c>
      <c r="M318" s="3">
        <f t="shared" si="63"/>
        <v>3.5949234122929621E-2</v>
      </c>
      <c r="N318" s="3">
        <f t="shared" si="63"/>
        <v>3.6850153227280746E-2</v>
      </c>
      <c r="O318" s="3"/>
      <c r="P318" s="3"/>
    </row>
    <row r="319" spans="4:16" x14ac:dyDescent="0.25">
      <c r="D319" s="2">
        <v>35163</v>
      </c>
      <c r="E319" s="3">
        <f t="shared" ref="E319:N319" si="64">LN(E85/E66)</f>
        <v>-3.8910554929666762E-3</v>
      </c>
      <c r="F319" s="3">
        <f t="shared" si="64"/>
        <v>-3.7383221106072153E-3</v>
      </c>
      <c r="G319" s="3">
        <f t="shared" si="64"/>
        <v>1.0600805986640548E-2</v>
      </c>
      <c r="H319" s="3">
        <f t="shared" si="64"/>
        <v>1.142869582362285E-2</v>
      </c>
      <c r="I319" s="3">
        <f t="shared" si="64"/>
        <v>1.9108861698046507E-2</v>
      </c>
      <c r="J319" s="3">
        <f t="shared" si="64"/>
        <v>2.4692612590371414E-2</v>
      </c>
      <c r="K319" s="3">
        <f t="shared" si="64"/>
        <v>2.70286723879192E-2</v>
      </c>
      <c r="L319" s="3">
        <f t="shared" si="64"/>
        <v>4.1734819777614778E-2</v>
      </c>
      <c r="M319" s="3">
        <f t="shared" si="64"/>
        <v>2.8131250250359112E-2</v>
      </c>
      <c r="N319" s="3">
        <f t="shared" si="64"/>
        <v>3.1702943241478536E-2</v>
      </c>
      <c r="O319" s="3"/>
      <c r="P319" s="3"/>
    </row>
    <row r="320" spans="4:16" x14ac:dyDescent="0.25">
      <c r="D320" s="2">
        <v>35164</v>
      </c>
      <c r="E320" s="3">
        <f t="shared" ref="E320:N320" si="65">LN(E86/E67)</f>
        <v>-3.8835000263977445E-3</v>
      </c>
      <c r="F320" s="3">
        <f t="shared" si="65"/>
        <v>-9.319731948802255E-3</v>
      </c>
      <c r="G320" s="3">
        <f t="shared" si="65"/>
        <v>3.5211303985789606E-3</v>
      </c>
      <c r="H320" s="3">
        <f t="shared" si="65"/>
        <v>1.4622518867541963E-2</v>
      </c>
      <c r="I320" s="3">
        <f t="shared" si="65"/>
        <v>1.5823114939242659E-2</v>
      </c>
      <c r="J320" s="3">
        <f t="shared" si="65"/>
        <v>2.295433606908448E-2</v>
      </c>
      <c r="K320" s="3">
        <f t="shared" si="65"/>
        <v>2.8296750212504086E-2</v>
      </c>
      <c r="L320" s="3">
        <f t="shared" si="65"/>
        <v>3.9916607405442631E-2</v>
      </c>
      <c r="M320" s="3">
        <f t="shared" si="65"/>
        <v>3.0643066112085358E-2</v>
      </c>
      <c r="N320" s="3">
        <f t="shared" si="65"/>
        <v>3.4289073478632165E-2</v>
      </c>
      <c r="O320" s="3"/>
      <c r="P320" s="3"/>
    </row>
    <row r="321" spans="4:16" x14ac:dyDescent="0.25">
      <c r="D321" s="2">
        <v>35165</v>
      </c>
      <c r="E321" s="3">
        <f t="shared" ref="E321:N321" si="66">LN(E87/E68)</f>
        <v>7.8125397367936247E-3</v>
      </c>
      <c r="F321" s="3">
        <f t="shared" si="66"/>
        <v>5.6232575543620393E-3</v>
      </c>
      <c r="G321" s="3">
        <f t="shared" si="66"/>
        <v>1.0657294473988199E-2</v>
      </c>
      <c r="H321" s="3">
        <f t="shared" si="66"/>
        <v>1.4742281737203431E-2</v>
      </c>
      <c r="I321" s="3">
        <f t="shared" si="66"/>
        <v>2.0717872503747251E-2</v>
      </c>
      <c r="J321" s="3">
        <f t="shared" si="66"/>
        <v>3.091436291244715E-2</v>
      </c>
      <c r="K321" s="3">
        <f t="shared" si="66"/>
        <v>3.1510483968185926E-2</v>
      </c>
      <c r="L321" s="3">
        <f t="shared" si="66"/>
        <v>4.4716838781796331E-2</v>
      </c>
      <c r="M321" s="3">
        <f t="shared" si="66"/>
        <v>2.9393298696632337E-2</v>
      </c>
      <c r="N321" s="3">
        <f t="shared" si="66"/>
        <v>3.3072748274022359E-2</v>
      </c>
      <c r="O321" s="3"/>
      <c r="P321" s="3"/>
    </row>
    <row r="322" spans="4:16" x14ac:dyDescent="0.25">
      <c r="D322" s="2">
        <v>35166</v>
      </c>
      <c r="E322" s="3">
        <f t="shared" ref="E322:N322" si="67">LN(E88/E69)</f>
        <v>1.1741817876683195E-2</v>
      </c>
      <c r="F322" s="3">
        <f t="shared" si="67"/>
        <v>9.3721398288632522E-3</v>
      </c>
      <c r="G322" s="3">
        <f t="shared" si="67"/>
        <v>1.2334958157951366E-2</v>
      </c>
      <c r="H322" s="3">
        <f t="shared" si="67"/>
        <v>1.6260520871780326E-2</v>
      </c>
      <c r="I322" s="3">
        <f t="shared" si="67"/>
        <v>2.2187914975362138E-2</v>
      </c>
      <c r="J322" s="3">
        <f t="shared" si="67"/>
        <v>2.4541108916117445E-2</v>
      </c>
      <c r="K322" s="3">
        <f t="shared" si="67"/>
        <v>2.5317807984289786E-2</v>
      </c>
      <c r="L322" s="3">
        <f t="shared" si="67"/>
        <v>3.5559302036486926E-2</v>
      </c>
      <c r="M322" s="3">
        <f t="shared" si="67"/>
        <v>2.3661507498158228E-2</v>
      </c>
      <c r="N322" s="3">
        <f t="shared" si="67"/>
        <v>2.4304269926049948E-2</v>
      </c>
      <c r="O322" s="3"/>
      <c r="P322" s="3"/>
    </row>
    <row r="323" spans="4:16" x14ac:dyDescent="0.25">
      <c r="D323" s="2">
        <v>35167</v>
      </c>
      <c r="E323" s="3">
        <f t="shared" ref="E323:N323" si="68">LN(E89/E70)</f>
        <v>9.794397592287625E-3</v>
      </c>
      <c r="F323" s="3">
        <f t="shared" si="68"/>
        <v>-1.8814680997057312E-3</v>
      </c>
      <c r="G323" s="3">
        <f t="shared" si="68"/>
        <v>1.7683470567419492E-3</v>
      </c>
      <c r="H323" s="3">
        <f t="shared" si="68"/>
        <v>4.8899852941917702E-3</v>
      </c>
      <c r="I323" s="3">
        <f t="shared" si="68"/>
        <v>3.1545767485153453E-3</v>
      </c>
      <c r="J323" s="3">
        <f t="shared" si="68"/>
        <v>9.1884260544061701E-3</v>
      </c>
      <c r="K323" s="3">
        <f t="shared" si="68"/>
        <v>8.941937375661433E-3</v>
      </c>
      <c r="L323" s="3">
        <f t="shared" si="68"/>
        <v>1.4859114403749905E-2</v>
      </c>
      <c r="M323" s="3">
        <f t="shared" si="68"/>
        <v>5.5788150270389336E-3</v>
      </c>
      <c r="N323" s="3">
        <f t="shared" si="68"/>
        <v>7.168489478612497E-3</v>
      </c>
      <c r="O323" s="3"/>
      <c r="P323" s="3"/>
    </row>
    <row r="324" spans="4:16" x14ac:dyDescent="0.25">
      <c r="D324" s="2">
        <v>35170</v>
      </c>
      <c r="E324" s="3">
        <f t="shared" ref="E324:N324" si="69">LN(E90/E71)</f>
        <v>1.176484157958621E-2</v>
      </c>
      <c r="F324" s="3">
        <f t="shared" si="69"/>
        <v>7.5472056353829038E-3</v>
      </c>
      <c r="G324" s="3">
        <f t="shared" si="69"/>
        <v>2.6763417198816506E-2</v>
      </c>
      <c r="H324" s="3">
        <f t="shared" si="69"/>
        <v>2.9754261081792716E-2</v>
      </c>
      <c r="I324" s="3">
        <f t="shared" si="69"/>
        <v>3.689271638036544E-2</v>
      </c>
      <c r="J324" s="3">
        <f t="shared" si="69"/>
        <v>4.0378155943397512E-2</v>
      </c>
      <c r="K324" s="3">
        <f t="shared" si="69"/>
        <v>4.0760359338873974E-2</v>
      </c>
      <c r="L324" s="3">
        <f t="shared" si="69"/>
        <v>4.7913355695897449E-2</v>
      </c>
      <c r="M324" s="3">
        <f t="shared" si="69"/>
        <v>2.9558802241544429E-2</v>
      </c>
      <c r="N324" s="3">
        <f t="shared" si="69"/>
        <v>3.0371097876298769E-2</v>
      </c>
      <c r="O324" s="3"/>
      <c r="P324" s="3"/>
    </row>
    <row r="325" spans="4:16" x14ac:dyDescent="0.25">
      <c r="D325" s="2">
        <v>35171</v>
      </c>
      <c r="E325" s="3">
        <f t="shared" ref="E325:N325" si="70">LN(E91/E72)</f>
        <v>3.1685819074140795E-2</v>
      </c>
      <c r="F325" s="3">
        <f t="shared" si="70"/>
        <v>1.9011979488571785E-2</v>
      </c>
      <c r="G325" s="3">
        <f t="shared" si="70"/>
        <v>2.7053047471710039E-2</v>
      </c>
      <c r="H325" s="3">
        <f t="shared" si="70"/>
        <v>1.837979893708961E-2</v>
      </c>
      <c r="I325" s="3">
        <f t="shared" si="70"/>
        <v>2.6017727727954874E-2</v>
      </c>
      <c r="J325" s="3">
        <f t="shared" si="70"/>
        <v>2.830377616285194E-2</v>
      </c>
      <c r="K325" s="3">
        <f t="shared" si="70"/>
        <v>2.8987536873252406E-2</v>
      </c>
      <c r="L325" s="3">
        <f t="shared" si="70"/>
        <v>4.2366396371629228E-2</v>
      </c>
      <c r="M325" s="3">
        <f t="shared" si="70"/>
        <v>1.9858808649603255E-2</v>
      </c>
      <c r="N325" s="3">
        <f t="shared" si="70"/>
        <v>2.0408871631207033E-2</v>
      </c>
      <c r="O325" s="3"/>
      <c r="P325" s="3"/>
    </row>
    <row r="326" spans="4:16" x14ac:dyDescent="0.25">
      <c r="D326" s="2">
        <v>35172</v>
      </c>
      <c r="E326" s="3">
        <f t="shared" ref="E326:N326" si="71">LN(E92/E73)</f>
        <v>4.1549002912872481E-2</v>
      </c>
      <c r="F326" s="3">
        <f t="shared" si="71"/>
        <v>2.4645797206827948E-2</v>
      </c>
      <c r="G326" s="3">
        <f t="shared" si="71"/>
        <v>2.5226562945675563E-2</v>
      </c>
      <c r="H326" s="3">
        <f t="shared" si="71"/>
        <v>2.506396866321622E-2</v>
      </c>
      <c r="I326" s="3">
        <f t="shared" si="71"/>
        <v>3.0871663667087147E-2</v>
      </c>
      <c r="J326" s="3">
        <f t="shared" si="71"/>
        <v>2.6710150327573862E-2</v>
      </c>
      <c r="K326" s="3">
        <f t="shared" si="71"/>
        <v>2.7482645693831884E-2</v>
      </c>
      <c r="L326" s="3">
        <f t="shared" si="71"/>
        <v>3.6367644170874791E-2</v>
      </c>
      <c r="M326" s="3">
        <f t="shared" si="71"/>
        <v>1.9943680967335332E-2</v>
      </c>
      <c r="N326" s="3">
        <f t="shared" si="71"/>
        <v>1.7544309650909525E-2</v>
      </c>
      <c r="O326" s="3"/>
      <c r="P326" s="3"/>
    </row>
    <row r="327" spans="4:16" x14ac:dyDescent="0.25">
      <c r="D327" s="2">
        <v>35173</v>
      </c>
      <c r="E327" s="3">
        <f t="shared" ref="E327:N327" si="72">LN(E93/E74)</f>
        <v>3.5647338730237489E-2</v>
      </c>
      <c r="F327" s="3">
        <f t="shared" si="72"/>
        <v>1.327033692089661E-2</v>
      </c>
      <c r="G327" s="3">
        <f t="shared" si="72"/>
        <v>9.0009608589761234E-3</v>
      </c>
      <c r="H327" s="3">
        <f t="shared" si="72"/>
        <v>8.3542674698577242E-3</v>
      </c>
      <c r="I327" s="3">
        <f t="shared" si="72"/>
        <v>1.1372990172269981E-2</v>
      </c>
      <c r="J327" s="3">
        <f t="shared" si="72"/>
        <v>1.0997754209541502E-2</v>
      </c>
      <c r="K327" s="3">
        <f t="shared" si="72"/>
        <v>1.377221462122709E-2</v>
      </c>
      <c r="L327" s="3">
        <f t="shared" si="72"/>
        <v>2.1245108613736279E-2</v>
      </c>
      <c r="M327" s="3">
        <f t="shared" si="72"/>
        <v>7.1276139242321401E-3</v>
      </c>
      <c r="N327" s="3">
        <f t="shared" si="72"/>
        <v>5.8565321127129685E-3</v>
      </c>
      <c r="O327" s="3"/>
      <c r="P327" s="3"/>
    </row>
    <row r="328" spans="4:16" x14ac:dyDescent="0.25">
      <c r="D328" s="2">
        <v>35174</v>
      </c>
      <c r="E328" s="3">
        <f t="shared" ref="E328:N328" si="73">LN(E94/E75)</f>
        <v>2.9675768146116541E-2</v>
      </c>
      <c r="F328" s="3">
        <f t="shared" si="73"/>
        <v>9.4608085042288889E-3</v>
      </c>
      <c r="G328" s="3">
        <f t="shared" si="73"/>
        <v>3.59066813072854E-3</v>
      </c>
      <c r="H328" s="3">
        <f t="shared" si="73"/>
        <v>-1.6625107736134141E-3</v>
      </c>
      <c r="I328" s="3">
        <f t="shared" si="73"/>
        <v>0</v>
      </c>
      <c r="J328" s="3">
        <f t="shared" si="73"/>
        <v>0</v>
      </c>
      <c r="K328" s="3">
        <f t="shared" si="73"/>
        <v>0</v>
      </c>
      <c r="L328" s="3">
        <f t="shared" si="73"/>
        <v>1.0582109330537008E-2</v>
      </c>
      <c r="M328" s="3">
        <f t="shared" si="73"/>
        <v>1.4234877848539275E-3</v>
      </c>
      <c r="N328" s="3">
        <f t="shared" si="73"/>
        <v>0</v>
      </c>
      <c r="O328" s="3"/>
      <c r="P328" s="3"/>
    </row>
    <row r="329" spans="4:16" x14ac:dyDescent="0.25">
      <c r="D329" s="2">
        <v>35177</v>
      </c>
      <c r="E329" s="3">
        <f t="shared" ref="E329:N329" si="74">LN(E95/E76)</f>
        <v>2.7560799578871416E-2</v>
      </c>
      <c r="F329" s="3">
        <f t="shared" si="74"/>
        <v>1.7029739844802268E-2</v>
      </c>
      <c r="G329" s="3">
        <f t="shared" si="74"/>
        <v>1.8018505502678212E-2</v>
      </c>
      <c r="H329" s="3">
        <f t="shared" si="74"/>
        <v>2.1613476420537171E-2</v>
      </c>
      <c r="I329" s="3">
        <f t="shared" si="74"/>
        <v>2.4292692569044701E-2</v>
      </c>
      <c r="J329" s="3">
        <f t="shared" si="74"/>
        <v>2.0360922648914957E-2</v>
      </c>
      <c r="K329" s="3">
        <f t="shared" si="74"/>
        <v>2.2884293833587806E-2</v>
      </c>
      <c r="L329" s="3">
        <f t="shared" si="74"/>
        <v>2.5700583108580703E-2</v>
      </c>
      <c r="M329" s="3">
        <f t="shared" si="74"/>
        <v>1.1363758650315003E-2</v>
      </c>
      <c r="N329" s="3">
        <f t="shared" si="74"/>
        <v>1.4598799421152851E-2</v>
      </c>
      <c r="O329" s="3"/>
      <c r="P329" s="3"/>
    </row>
    <row r="330" spans="4:16" x14ac:dyDescent="0.25">
      <c r="D330" s="2">
        <v>35178</v>
      </c>
      <c r="E330" s="3">
        <f t="shared" ref="E330:N330" si="75">LN(E96/E77)</f>
        <v>1.1718884113213479E-2</v>
      </c>
      <c r="F330" s="3">
        <f t="shared" si="75"/>
        <v>2.0853836283205779E-2</v>
      </c>
      <c r="G330" s="3">
        <f t="shared" si="75"/>
        <v>1.8083675433295327E-2</v>
      </c>
      <c r="H330" s="3">
        <f t="shared" si="75"/>
        <v>2.0067563050809388E-2</v>
      </c>
      <c r="I330" s="3">
        <f t="shared" si="75"/>
        <v>2.2839491969822951E-2</v>
      </c>
      <c r="J330" s="3">
        <f t="shared" si="75"/>
        <v>2.0489290452471415E-2</v>
      </c>
      <c r="K330" s="3">
        <f t="shared" si="75"/>
        <v>2.1506205220963463E-2</v>
      </c>
      <c r="L330" s="3">
        <f t="shared" si="75"/>
        <v>2.5896344303579451E-2</v>
      </c>
      <c r="M330" s="3">
        <f t="shared" si="75"/>
        <v>1.1445046245872878E-2</v>
      </c>
      <c r="N330" s="3">
        <f t="shared" si="75"/>
        <v>1.3245226750020723E-2</v>
      </c>
      <c r="O330" s="3"/>
      <c r="P330" s="3"/>
    </row>
    <row r="331" spans="4:16" x14ac:dyDescent="0.25">
      <c r="D331" s="2">
        <v>35179</v>
      </c>
      <c r="E331" s="3">
        <f t="shared" ref="E331:N331" si="76">LN(E97/E78)</f>
        <v>1.3632148790057627E-2</v>
      </c>
      <c r="F331" s="3">
        <f t="shared" si="76"/>
        <v>1.706202527672155E-2</v>
      </c>
      <c r="G331" s="3">
        <f t="shared" si="76"/>
        <v>1.4493007302566606E-2</v>
      </c>
      <c r="H331" s="3">
        <f t="shared" si="76"/>
        <v>1.5063046311095542E-2</v>
      </c>
      <c r="I331" s="3">
        <f t="shared" si="76"/>
        <v>1.3029500290333897E-2</v>
      </c>
      <c r="J331" s="3">
        <f t="shared" si="76"/>
        <v>1.103242080357685E-2</v>
      </c>
      <c r="K331" s="3">
        <f t="shared" si="76"/>
        <v>1.0761056956298238E-2</v>
      </c>
      <c r="L331" s="3">
        <f t="shared" si="76"/>
        <v>1.5220994010355388E-2</v>
      </c>
      <c r="M331" s="3">
        <f t="shared" si="76"/>
        <v>5.7224762740663154E-3</v>
      </c>
      <c r="N331" s="3">
        <f t="shared" si="76"/>
        <v>5.8823699030666129E-3</v>
      </c>
      <c r="O331" s="3"/>
      <c r="P331" s="3"/>
    </row>
    <row r="332" spans="4:16" x14ac:dyDescent="0.25">
      <c r="D332" s="2">
        <v>35180</v>
      </c>
      <c r="E332" s="3">
        <f t="shared" ref="E332:N332" si="77">LN(E98/E79)</f>
        <v>9.6993970887135784E-3</v>
      </c>
      <c r="F332" s="3">
        <f t="shared" si="77"/>
        <v>1.5151805020602246E-2</v>
      </c>
      <c r="G332" s="3">
        <f t="shared" si="77"/>
        <v>1.0830430774369591E-2</v>
      </c>
      <c r="H332" s="3">
        <f t="shared" si="77"/>
        <v>1.3355791181555636E-2</v>
      </c>
      <c r="I332" s="3">
        <f t="shared" si="77"/>
        <v>9.7403367483848043E-3</v>
      </c>
      <c r="J332" s="3">
        <f t="shared" si="77"/>
        <v>1.0980502483444269E-2</v>
      </c>
      <c r="K332" s="3">
        <f t="shared" si="77"/>
        <v>1.069528911674795E-2</v>
      </c>
      <c r="L332" s="3">
        <f t="shared" si="77"/>
        <v>1.2103022171243627E-2</v>
      </c>
      <c r="M332" s="3">
        <f t="shared" si="77"/>
        <v>4.2704691234522855E-3</v>
      </c>
      <c r="N332" s="3">
        <f t="shared" si="77"/>
        <v>5.8565321127129685E-3</v>
      </c>
      <c r="O332" s="3"/>
      <c r="P332" s="3"/>
    </row>
    <row r="333" spans="4:16" x14ac:dyDescent="0.25">
      <c r="D333" s="2">
        <v>35181</v>
      </c>
      <c r="E333" s="3">
        <f t="shared" ref="E333:N333" si="78">LN(E99/E80)</f>
        <v>1.7527225708960321E-2</v>
      </c>
      <c r="F333" s="3">
        <f t="shared" si="78"/>
        <v>1.5151805020602246E-2</v>
      </c>
      <c r="G333" s="3">
        <f t="shared" si="78"/>
        <v>-1.7969456767017416E-3</v>
      </c>
      <c r="H333" s="3">
        <f t="shared" si="78"/>
        <v>6.6555986117360667E-3</v>
      </c>
      <c r="I333" s="3">
        <f t="shared" si="78"/>
        <v>6.483004878078312E-3</v>
      </c>
      <c r="J333" s="3">
        <f t="shared" si="78"/>
        <v>1.103242080357685E-2</v>
      </c>
      <c r="K333" s="3">
        <f t="shared" si="78"/>
        <v>9.2025189311619199E-3</v>
      </c>
      <c r="L333" s="3">
        <f t="shared" si="78"/>
        <v>1.061420124177353E-2</v>
      </c>
      <c r="M333" s="3">
        <f t="shared" si="78"/>
        <v>-2.85714480077978E-3</v>
      </c>
      <c r="N333" s="3">
        <f t="shared" si="78"/>
        <v>0</v>
      </c>
      <c r="O333" s="3"/>
      <c r="P333" s="3"/>
    </row>
    <row r="334" spans="4:16" x14ac:dyDescent="0.25">
      <c r="D334" s="2">
        <v>35184</v>
      </c>
      <c r="E334" s="3">
        <f t="shared" ref="E334:N334" si="79">LN(E100/E81)</f>
        <v>1.3605652055778459E-2</v>
      </c>
      <c r="F334" s="3">
        <f t="shared" si="79"/>
        <v>2.0814374895271756E-2</v>
      </c>
      <c r="G334" s="3">
        <f t="shared" si="79"/>
        <v>1.4311514393255946E-2</v>
      </c>
      <c r="H334" s="3">
        <f t="shared" si="79"/>
        <v>2.172182314683575E-2</v>
      </c>
      <c r="I334" s="3">
        <f t="shared" si="79"/>
        <v>2.437163682128617E-2</v>
      </c>
      <c r="J334" s="3">
        <f t="shared" si="79"/>
        <v>2.3567469403913247E-2</v>
      </c>
      <c r="K334" s="3">
        <f t="shared" si="79"/>
        <v>1.9893540519570572E-2</v>
      </c>
      <c r="L334" s="3">
        <f t="shared" si="79"/>
        <v>2.1180822079447045E-2</v>
      </c>
      <c r="M334" s="3">
        <f t="shared" si="79"/>
        <v>1.2848142477849059E-2</v>
      </c>
      <c r="N334" s="3">
        <f t="shared" si="79"/>
        <v>1.171316466365317E-2</v>
      </c>
      <c r="O334" s="3"/>
      <c r="P334" s="3"/>
    </row>
    <row r="335" spans="4:16" x14ac:dyDescent="0.25">
      <c r="D335" s="2">
        <v>35185</v>
      </c>
      <c r="E335" s="3">
        <f t="shared" ref="E335:N335" si="80">LN(E101/E82)</f>
        <v>7.7519768043179237E-3</v>
      </c>
      <c r="F335" s="3">
        <f t="shared" si="80"/>
        <v>9.4251404595831131E-3</v>
      </c>
      <c r="G335" s="3">
        <f t="shared" si="80"/>
        <v>7.155665595412232E-3</v>
      </c>
      <c r="H335" s="3">
        <f t="shared" si="80"/>
        <v>8.3264427765535904E-3</v>
      </c>
      <c r="I335" s="3">
        <f t="shared" si="80"/>
        <v>1.1354542102925849E-2</v>
      </c>
      <c r="J335" s="3">
        <f t="shared" si="80"/>
        <v>1.4117881545785022E-2</v>
      </c>
      <c r="K335" s="3">
        <f t="shared" si="80"/>
        <v>1.069528911674795E-2</v>
      </c>
      <c r="L335" s="3">
        <f t="shared" si="80"/>
        <v>9.0635061533469105E-3</v>
      </c>
      <c r="M335" s="3">
        <f t="shared" si="80"/>
        <v>1.4275519911853237E-3</v>
      </c>
      <c r="N335" s="3">
        <f t="shared" si="80"/>
        <v>1.4630580517603152E-3</v>
      </c>
      <c r="O335" s="3"/>
      <c r="P335" s="3"/>
    </row>
    <row r="336" spans="4:16" x14ac:dyDescent="0.25">
      <c r="D336" s="2">
        <v>35186</v>
      </c>
      <c r="E336" s="3">
        <f t="shared" ref="E336:N336" si="81">LN(E102/E83)</f>
        <v>5.8196090532640025E-3</v>
      </c>
      <c r="F336" s="3">
        <f t="shared" si="81"/>
        <v>7.518832414027319E-3</v>
      </c>
      <c r="G336" s="3">
        <f t="shared" si="81"/>
        <v>1.7777782459993572E-3</v>
      </c>
      <c r="H336" s="3">
        <f t="shared" si="81"/>
        <v>3.3112613036560051E-3</v>
      </c>
      <c r="I336" s="3">
        <f t="shared" si="81"/>
        <v>6.4412461028570747E-3</v>
      </c>
      <c r="J336" s="3">
        <f t="shared" si="81"/>
        <v>6.2305497506361628E-3</v>
      </c>
      <c r="K336" s="3">
        <f t="shared" si="81"/>
        <v>0</v>
      </c>
      <c r="L336" s="3">
        <f t="shared" si="81"/>
        <v>1.5003753752344921E-3</v>
      </c>
      <c r="M336" s="3">
        <f t="shared" si="81"/>
        <v>-5.6818334674309462E-3</v>
      </c>
      <c r="N336" s="3">
        <f t="shared" si="81"/>
        <v>-5.8224327514332531E-3</v>
      </c>
      <c r="O336" s="3"/>
      <c r="P336" s="3"/>
    </row>
    <row r="337" spans="4:16" x14ac:dyDescent="0.25">
      <c r="D337" s="2">
        <v>35187</v>
      </c>
      <c r="E337" s="3">
        <f t="shared" ref="E337:N337" si="82">LN(E103/E84)</f>
        <v>1.3605652055778459E-2</v>
      </c>
      <c r="F337" s="3">
        <f t="shared" si="82"/>
        <v>1.3145729212502731E-2</v>
      </c>
      <c r="G337" s="3">
        <f t="shared" si="82"/>
        <v>1.7699577099401075E-2</v>
      </c>
      <c r="H337" s="3">
        <f t="shared" si="82"/>
        <v>2.1329766806334347E-2</v>
      </c>
      <c r="I337" s="3">
        <f t="shared" si="82"/>
        <v>2.236514945958009E-2</v>
      </c>
      <c r="J337" s="3">
        <f t="shared" si="82"/>
        <v>2.6256334566554178E-2</v>
      </c>
      <c r="K337" s="3">
        <f t="shared" si="82"/>
        <v>1.6579128802911264E-2</v>
      </c>
      <c r="L337" s="3">
        <f t="shared" si="82"/>
        <v>1.3383099375629344E-2</v>
      </c>
      <c r="M337" s="3">
        <f t="shared" si="82"/>
        <v>2.8208763416412634E-3</v>
      </c>
      <c r="N337" s="3">
        <f t="shared" si="82"/>
        <v>4.3321367391347372E-3</v>
      </c>
      <c r="O337" s="3"/>
      <c r="P337" s="3"/>
    </row>
    <row r="338" spans="4:16" x14ac:dyDescent="0.25">
      <c r="D338" s="2">
        <v>35188</v>
      </c>
      <c r="E338" s="3">
        <f t="shared" ref="E338:N338" si="83">LN(E104/E85)</f>
        <v>9.6993970887135784E-3</v>
      </c>
      <c r="F338" s="3">
        <f t="shared" si="83"/>
        <v>1.8709079358116025E-3</v>
      </c>
      <c r="G338" s="3">
        <f t="shared" si="83"/>
        <v>3.5087755296792705E-3</v>
      </c>
      <c r="H338" s="3">
        <f t="shared" si="83"/>
        <v>3.2414939241710229E-3</v>
      </c>
      <c r="I338" s="3">
        <f t="shared" si="83"/>
        <v>3.1496089028962013E-3</v>
      </c>
      <c r="J338" s="3">
        <f t="shared" si="83"/>
        <v>-1.5255533088370686E-3</v>
      </c>
      <c r="K338" s="3">
        <f t="shared" si="83"/>
        <v>-7.4349784875180902E-3</v>
      </c>
      <c r="L338" s="3">
        <f t="shared" si="83"/>
        <v>-1.0271550321829685E-2</v>
      </c>
      <c r="M338" s="3">
        <f t="shared" si="83"/>
        <v>-1.8195043591229306E-2</v>
      </c>
      <c r="N338" s="3">
        <f t="shared" si="83"/>
        <v>-1.8611847194599115E-2</v>
      </c>
      <c r="O338" s="3"/>
      <c r="P338" s="3"/>
    </row>
    <row r="339" spans="4:16" x14ac:dyDescent="0.25">
      <c r="D339" s="2">
        <v>35191</v>
      </c>
      <c r="E339" s="3">
        <f t="shared" ref="E339:N339" si="84">LN(E105/E86)</f>
        <v>7.7519768043179237E-3</v>
      </c>
      <c r="F339" s="3">
        <f t="shared" si="84"/>
        <v>3.7383221106071581E-3</v>
      </c>
      <c r="G339" s="3">
        <f t="shared" si="84"/>
        <v>1.3961832381768541E-2</v>
      </c>
      <c r="H339" s="3">
        <f t="shared" si="84"/>
        <v>1.1227062593783402E-2</v>
      </c>
      <c r="I339" s="3">
        <f t="shared" si="84"/>
        <v>1.092907053219023E-2</v>
      </c>
      <c r="J339" s="3">
        <f t="shared" si="84"/>
        <v>4.5283096247473887E-3</v>
      </c>
      <c r="K339" s="3">
        <f t="shared" si="84"/>
        <v>-4.4150182091167202E-3</v>
      </c>
      <c r="L339" s="3">
        <f t="shared" si="84"/>
        <v>-7.2727593290799206E-3</v>
      </c>
      <c r="M339" s="3">
        <f t="shared" si="84"/>
        <v>-1.6597891409037828E-2</v>
      </c>
      <c r="N339" s="3">
        <f t="shared" si="84"/>
        <v>-1.6997576368571136E-2</v>
      </c>
      <c r="O339" s="3"/>
      <c r="P339" s="3"/>
    </row>
    <row r="340" spans="4:16" x14ac:dyDescent="0.25">
      <c r="D340" s="2">
        <v>35192</v>
      </c>
      <c r="E340" s="3">
        <f t="shared" ref="E340:N340" si="85">LN(E106/E87)</f>
        <v>1.7358198609757951E-2</v>
      </c>
      <c r="F340" s="3">
        <f t="shared" si="85"/>
        <v>1.1152531950475107E-2</v>
      </c>
      <c r="G340" s="3">
        <f t="shared" si="85"/>
        <v>2.0979790469194466E-2</v>
      </c>
      <c r="H340" s="3">
        <f t="shared" si="85"/>
        <v>1.7728103293580599E-2</v>
      </c>
      <c r="I340" s="3">
        <f t="shared" si="85"/>
        <v>1.4095769800393376E-2</v>
      </c>
      <c r="J340" s="3">
        <f t="shared" si="85"/>
        <v>1.0598130991823284E-2</v>
      </c>
      <c r="K340" s="3">
        <f t="shared" si="85"/>
        <v>4.4215252578774771E-3</v>
      </c>
      <c r="L340" s="3">
        <f t="shared" si="85"/>
        <v>1.4566644964641641E-3</v>
      </c>
      <c r="M340" s="3">
        <f t="shared" si="85"/>
        <v>-8.3102971336280369E-3</v>
      </c>
      <c r="N340" s="3">
        <f t="shared" si="85"/>
        <v>-8.5227788619827369E-3</v>
      </c>
      <c r="O340" s="3"/>
      <c r="P340" s="3"/>
    </row>
    <row r="341" spans="4:16" x14ac:dyDescent="0.25">
      <c r="D341" s="2">
        <v>35193</v>
      </c>
      <c r="E341" s="3">
        <f t="shared" ref="E341:N341" si="86">LN(E107/E88)</f>
        <v>1.160554612030811E-2</v>
      </c>
      <c r="F341" s="3">
        <f t="shared" si="86"/>
        <v>1.1131840368844199E-2</v>
      </c>
      <c r="G341" s="3">
        <f t="shared" si="86"/>
        <v>1.2184659016367219E-2</v>
      </c>
      <c r="H341" s="3">
        <f t="shared" si="86"/>
        <v>6.4308903302903314E-3</v>
      </c>
      <c r="I341" s="3">
        <f t="shared" si="86"/>
        <v>9.3604427595638928E-3</v>
      </c>
      <c r="J341" s="3">
        <f t="shared" si="86"/>
        <v>3.0257209165371114E-3</v>
      </c>
      <c r="K341" s="3">
        <f t="shared" si="86"/>
        <v>-2.9455102297568031E-3</v>
      </c>
      <c r="L341" s="3">
        <f t="shared" si="86"/>
        <v>-1.4566644964640444E-3</v>
      </c>
      <c r="M341" s="3">
        <f t="shared" si="86"/>
        <v>-1.2456908485295154E-2</v>
      </c>
      <c r="N341" s="3">
        <f t="shared" si="86"/>
        <v>-1.1363758650315095E-2</v>
      </c>
      <c r="O341" s="3"/>
      <c r="P341" s="3"/>
    </row>
    <row r="342" spans="4:16" x14ac:dyDescent="0.25">
      <c r="D342" s="2">
        <v>35194</v>
      </c>
      <c r="E342" s="3">
        <f t="shared" ref="E342:N342" si="87">LN(E108/E89)</f>
        <v>1.7391742711869239E-2</v>
      </c>
      <c r="F342" s="3">
        <f t="shared" si="87"/>
        <v>1.8657257604542881E-2</v>
      </c>
      <c r="G342" s="3">
        <f t="shared" si="87"/>
        <v>1.7513582492708211E-2</v>
      </c>
      <c r="H342" s="3">
        <f t="shared" si="87"/>
        <v>1.4528100562909808E-2</v>
      </c>
      <c r="I342" s="3">
        <f t="shared" si="87"/>
        <v>1.2519725344927849E-2</v>
      </c>
      <c r="J342" s="3">
        <f t="shared" si="87"/>
        <v>6.0790460763821925E-3</v>
      </c>
      <c r="K342" s="3">
        <f t="shared" si="87"/>
        <v>1.4825799602226743E-3</v>
      </c>
      <c r="L342" s="3">
        <f t="shared" si="87"/>
        <v>5.8823699030666129E-3</v>
      </c>
      <c r="M342" s="3">
        <f t="shared" si="87"/>
        <v>-6.9783953814623687E-3</v>
      </c>
      <c r="N342" s="3">
        <f t="shared" si="87"/>
        <v>-5.7306747089849834E-3</v>
      </c>
      <c r="O342" s="3"/>
      <c r="P342" s="3"/>
    </row>
    <row r="343" spans="4:16" x14ac:dyDescent="0.25">
      <c r="D343" s="2">
        <v>35195</v>
      </c>
      <c r="E343" s="3">
        <f t="shared" ref="E343:N343" si="88">LN(E109/E90)</f>
        <v>1.5474196582597383E-2</v>
      </c>
      <c r="F343" s="3">
        <f t="shared" si="88"/>
        <v>1.4925650216675792E-2</v>
      </c>
      <c r="G343" s="3">
        <f t="shared" si="88"/>
        <v>5.2677909348588046E-3</v>
      </c>
      <c r="H343" s="3">
        <f t="shared" si="88"/>
        <v>3.2520353863773159E-3</v>
      </c>
      <c r="I343" s="3">
        <f t="shared" si="88"/>
        <v>-4.7356047458341271E-3</v>
      </c>
      <c r="J343" s="3">
        <f t="shared" si="88"/>
        <v>-7.6394565579576143E-3</v>
      </c>
      <c r="K343" s="3">
        <f t="shared" si="88"/>
        <v>-1.3403030127340386E-2</v>
      </c>
      <c r="L343" s="3">
        <f t="shared" si="88"/>
        <v>-1.176484157958637E-2</v>
      </c>
      <c r="M343" s="3">
        <f t="shared" si="88"/>
        <v>-1.8195043591229306E-2</v>
      </c>
      <c r="N343" s="3">
        <f t="shared" si="88"/>
        <v>-1.5793580258141128E-2</v>
      </c>
      <c r="O343" s="3"/>
      <c r="P343" s="3"/>
    </row>
    <row r="344" spans="4:16" x14ac:dyDescent="0.25">
      <c r="D344" s="2">
        <v>35198</v>
      </c>
      <c r="E344" s="3">
        <f t="shared" ref="E344:N344" si="89">LN(E110/E91)</f>
        <v>2.502536756694038E-2</v>
      </c>
      <c r="F344" s="3">
        <f t="shared" si="89"/>
        <v>4.0595980280396168E-2</v>
      </c>
      <c r="G344" s="3">
        <f t="shared" si="89"/>
        <v>4.181793968332162E-2</v>
      </c>
      <c r="H344" s="3">
        <f t="shared" si="89"/>
        <v>5.7893978418902668E-2</v>
      </c>
      <c r="I344" s="3">
        <f t="shared" si="89"/>
        <v>5.161427015663584E-2</v>
      </c>
      <c r="J344" s="3">
        <f t="shared" si="89"/>
        <v>4.5462374076757198E-2</v>
      </c>
      <c r="K344" s="3">
        <f t="shared" si="89"/>
        <v>3.2547251566495176E-2</v>
      </c>
      <c r="L344" s="3">
        <f t="shared" si="89"/>
        <v>2.6317308317373358E-2</v>
      </c>
      <c r="M344" s="3">
        <f t="shared" si="89"/>
        <v>1.3947227480850333E-2</v>
      </c>
      <c r="N344" s="3">
        <f t="shared" si="89"/>
        <v>1.7167803622365498E-2</v>
      </c>
      <c r="O344" s="3"/>
      <c r="P344" s="3"/>
    </row>
    <row r="345" spans="4:16" x14ac:dyDescent="0.25">
      <c r="D345" s="2">
        <v>35199</v>
      </c>
      <c r="E345" s="3">
        <f t="shared" ref="E345:N345" si="90">LN(E111/E92)</f>
        <v>2.4881666376736691E-2</v>
      </c>
      <c r="F345" s="3">
        <f t="shared" si="90"/>
        <v>4.0372455290387417E-2</v>
      </c>
      <c r="G345" s="3">
        <f t="shared" si="90"/>
        <v>4.5225098004935807E-2</v>
      </c>
      <c r="H345" s="3">
        <f t="shared" si="90"/>
        <v>5.4588190284403204E-2</v>
      </c>
      <c r="I345" s="3">
        <f t="shared" si="90"/>
        <v>5.1453281588915663E-2</v>
      </c>
      <c r="J345" s="3">
        <f t="shared" si="90"/>
        <v>4.8420956116502503E-2</v>
      </c>
      <c r="K345" s="3">
        <f t="shared" si="90"/>
        <v>3.9857674291236107E-2</v>
      </c>
      <c r="L345" s="3">
        <f t="shared" si="90"/>
        <v>3.6527070237374323E-2</v>
      </c>
      <c r="M345" s="3">
        <f t="shared" si="90"/>
        <v>2.6445521664558429E-2</v>
      </c>
      <c r="N345" s="3">
        <f t="shared" si="90"/>
        <v>2.8573372444055948E-2</v>
      </c>
      <c r="O345" s="3"/>
      <c r="P345" s="3"/>
    </row>
    <row r="346" spans="4:16" x14ac:dyDescent="0.25">
      <c r="D346" s="2">
        <v>35200</v>
      </c>
      <c r="E346" s="3">
        <f t="shared" ref="E346:N346" si="91">LN(E112/E93)</f>
        <v>2.4977283086197132E-2</v>
      </c>
      <c r="F346" s="3">
        <f t="shared" si="91"/>
        <v>4.0595980280396168E-2</v>
      </c>
      <c r="G346" s="3">
        <f t="shared" si="91"/>
        <v>5.066585744678561E-2</v>
      </c>
      <c r="H346" s="3">
        <f t="shared" si="91"/>
        <v>5.8174721036955715E-2</v>
      </c>
      <c r="I346" s="3">
        <f t="shared" si="91"/>
        <v>5.8055516259492866E-2</v>
      </c>
      <c r="J346" s="3">
        <f t="shared" si="91"/>
        <v>5.6203096558557285E-2</v>
      </c>
      <c r="K346" s="3">
        <f t="shared" si="91"/>
        <v>5.3267029181487256E-2</v>
      </c>
      <c r="L346" s="3">
        <f t="shared" si="91"/>
        <v>4.8361071693421062E-2</v>
      </c>
      <c r="M346" s="3">
        <f t="shared" si="91"/>
        <v>3.7635103591736087E-2</v>
      </c>
      <c r="N346" s="3">
        <f t="shared" si="91"/>
        <v>4.0062582152070723E-2</v>
      </c>
      <c r="O346" s="3"/>
      <c r="P346" s="3"/>
    </row>
    <row r="347" spans="4:16" x14ac:dyDescent="0.25">
      <c r="D347" s="2">
        <v>35201</v>
      </c>
      <c r="E347" s="3">
        <f t="shared" ref="E347:N347" si="92">LN(E113/E94)</f>
        <v>2.502536756694038E-2</v>
      </c>
      <c r="F347" s="3">
        <f t="shared" si="92"/>
        <v>4.0595980280396168E-2</v>
      </c>
      <c r="G347" s="3">
        <f t="shared" si="92"/>
        <v>5.2367985517315939E-2</v>
      </c>
      <c r="H347" s="3">
        <f t="shared" si="92"/>
        <v>6.1309519842327173E-2</v>
      </c>
      <c r="I347" s="3">
        <f t="shared" si="92"/>
        <v>6.4235077044816485E-2</v>
      </c>
      <c r="J347" s="3">
        <f t="shared" si="92"/>
        <v>6.3657851771977622E-2</v>
      </c>
      <c r="K347" s="3">
        <f t="shared" si="92"/>
        <v>6.3489953289721318E-2</v>
      </c>
      <c r="L347" s="3">
        <f t="shared" si="92"/>
        <v>5.5569851154810786E-2</v>
      </c>
      <c r="M347" s="3">
        <f t="shared" si="92"/>
        <v>4.4513607402171744E-2</v>
      </c>
      <c r="N347" s="3">
        <f t="shared" si="92"/>
        <v>4.8511651425673798E-2</v>
      </c>
      <c r="O347" s="3"/>
      <c r="P347" s="3"/>
    </row>
    <row r="348" spans="4:16" x14ac:dyDescent="0.25">
      <c r="D348" s="2">
        <v>35202</v>
      </c>
      <c r="E348" s="3">
        <f t="shared" ref="E348:N348" si="93">LN(E114/E95)</f>
        <v>1.7324783657305921E-2</v>
      </c>
      <c r="F348" s="3">
        <f t="shared" si="93"/>
        <v>3.3213384987069793E-2</v>
      </c>
      <c r="G348" s="3">
        <f t="shared" si="93"/>
        <v>4.3675063502661635E-2</v>
      </c>
      <c r="H348" s="3">
        <f t="shared" si="93"/>
        <v>4.5023681373955113E-2</v>
      </c>
      <c r="I348" s="3">
        <f t="shared" si="93"/>
        <v>4.8409139207687413E-2</v>
      </c>
      <c r="J348" s="3">
        <f t="shared" si="93"/>
        <v>5.2842481374379774E-2</v>
      </c>
      <c r="K348" s="3">
        <f t="shared" si="93"/>
        <v>4.7136855378929671E-2</v>
      </c>
      <c r="L348" s="3">
        <f t="shared" si="93"/>
        <v>4.5230174649578327E-2</v>
      </c>
      <c r="M348" s="3">
        <f t="shared" si="93"/>
        <v>3.3336420267591926E-2</v>
      </c>
      <c r="N348" s="3">
        <f t="shared" si="93"/>
        <v>3.5590945102702533E-2</v>
      </c>
      <c r="O348" s="3"/>
      <c r="P348" s="3"/>
    </row>
    <row r="349" spans="4:16" x14ac:dyDescent="0.25">
      <c r="D349" s="2">
        <v>35205</v>
      </c>
      <c r="E349" s="3">
        <f t="shared" ref="E349:N349" si="94">LN(E115/E96)</f>
        <v>1.1583141089630636E-2</v>
      </c>
      <c r="F349" s="3">
        <f t="shared" si="94"/>
        <v>2.7753862782171117E-2</v>
      </c>
      <c r="G349" s="3">
        <f t="shared" si="94"/>
        <v>3.8669141159154118E-2</v>
      </c>
      <c r="H349" s="3">
        <f t="shared" si="94"/>
        <v>4.0557058765625514E-2</v>
      </c>
      <c r="I349" s="3">
        <f t="shared" si="94"/>
        <v>4.5713238664952846E-2</v>
      </c>
      <c r="J349" s="3">
        <f t="shared" si="94"/>
        <v>4.7228883602479538E-2</v>
      </c>
      <c r="K349" s="3">
        <f t="shared" si="94"/>
        <v>4.3129360897032239E-2</v>
      </c>
      <c r="L349" s="3">
        <f t="shared" si="94"/>
        <v>4.4124804908937887E-2</v>
      </c>
      <c r="M349" s="3">
        <f t="shared" si="94"/>
        <v>3.2193123014131159E-2</v>
      </c>
      <c r="N349" s="3">
        <f t="shared" si="94"/>
        <v>3.7307052412810612E-2</v>
      </c>
      <c r="O349" s="3"/>
      <c r="P349" s="3"/>
    </row>
    <row r="350" spans="4:16" x14ac:dyDescent="0.25">
      <c r="D350" s="2">
        <v>35206</v>
      </c>
      <c r="E350" s="3">
        <f t="shared" ref="E350:N350" si="95">LN(E116/E97)</f>
        <v>3.8610086574595933E-3</v>
      </c>
      <c r="F350" s="3">
        <f t="shared" si="95"/>
        <v>2.5975486403260521E-2</v>
      </c>
      <c r="G350" s="3">
        <f t="shared" si="95"/>
        <v>3.8805574421795282E-2</v>
      </c>
      <c r="H350" s="3">
        <f t="shared" si="95"/>
        <v>4.0689095324099755E-2</v>
      </c>
      <c r="I350" s="3">
        <f t="shared" si="95"/>
        <v>4.5857837043209844E-2</v>
      </c>
      <c r="J350" s="3">
        <f t="shared" si="95"/>
        <v>4.5949890191855761E-2</v>
      </c>
      <c r="K350" s="3">
        <f t="shared" si="95"/>
        <v>4.1922306386263437E-2</v>
      </c>
      <c r="L350" s="3">
        <f t="shared" si="95"/>
        <v>4.1426041654296947E-2</v>
      </c>
      <c r="M350" s="3">
        <f t="shared" si="95"/>
        <v>2.9517251858236185E-2</v>
      </c>
      <c r="N350" s="3">
        <f t="shared" si="95"/>
        <v>3.458557964977995E-2</v>
      </c>
      <c r="O350" s="3"/>
      <c r="P350" s="3"/>
    </row>
    <row r="351" spans="4:16" x14ac:dyDescent="0.25">
      <c r="D351" s="2">
        <v>35207</v>
      </c>
      <c r="E351" s="3">
        <f t="shared" ref="E351:N351" si="96">LN(E117/E98)</f>
        <v>5.7747994938839578E-3</v>
      </c>
      <c r="F351" s="3">
        <f t="shared" si="96"/>
        <v>2.5975486403260521E-2</v>
      </c>
      <c r="G351" s="3">
        <f t="shared" si="96"/>
        <v>3.700862874509335E-2</v>
      </c>
      <c r="H351" s="3">
        <f t="shared" si="96"/>
        <v>4.0622969741013162E-2</v>
      </c>
      <c r="I351" s="3">
        <f t="shared" si="96"/>
        <v>4.5785423667678661E-2</v>
      </c>
      <c r="J351" s="3">
        <f t="shared" si="96"/>
        <v>4.5739680051011818E-2</v>
      </c>
      <c r="K351" s="3">
        <f t="shared" si="96"/>
        <v>4.3129360897032239E-2</v>
      </c>
      <c r="L351" s="3">
        <f t="shared" si="96"/>
        <v>4.1242958534049003E-2</v>
      </c>
      <c r="M351" s="3">
        <f t="shared" si="96"/>
        <v>2.9393298696632337E-2</v>
      </c>
      <c r="N351" s="3">
        <f t="shared" si="96"/>
        <v>3.4436688269902337E-2</v>
      </c>
      <c r="O351" s="3"/>
      <c r="P351" s="3"/>
    </row>
    <row r="352" spans="4:16" x14ac:dyDescent="0.25">
      <c r="D352" s="2">
        <v>35208</v>
      </c>
      <c r="E352" s="3">
        <f t="shared" ref="E352:N352" si="97">LN(E118/E99)</f>
        <v>9.6062218054399334E-3</v>
      </c>
      <c r="F352" s="3">
        <f t="shared" si="97"/>
        <v>2.5975486403260521E-2</v>
      </c>
      <c r="G352" s="3">
        <f t="shared" si="97"/>
        <v>4.3982462601328799E-2</v>
      </c>
      <c r="H352" s="3">
        <f t="shared" si="97"/>
        <v>4.5388665814027514E-2</v>
      </c>
      <c r="I352" s="3">
        <f t="shared" si="97"/>
        <v>4.8867090205086672E-2</v>
      </c>
      <c r="J352" s="3">
        <f t="shared" si="97"/>
        <v>5.4891827567517225E-2</v>
      </c>
      <c r="K352" s="3">
        <f t="shared" si="97"/>
        <v>5.0606035378406564E-2</v>
      </c>
      <c r="L352" s="3">
        <f t="shared" si="97"/>
        <v>4.8574670148557181E-2</v>
      </c>
      <c r="M352" s="3">
        <f t="shared" si="97"/>
        <v>3.9275735299708965E-2</v>
      </c>
      <c r="N352" s="3">
        <f t="shared" si="97"/>
        <v>4.4515605262463523E-2</v>
      </c>
      <c r="O352" s="3"/>
      <c r="P352" s="3"/>
    </row>
    <row r="353" spans="4:16" x14ac:dyDescent="0.25">
      <c r="D353" s="2">
        <v>35209</v>
      </c>
      <c r="E353" s="3">
        <f t="shared" ref="E353:N353" si="98">LN(E119/E100)</f>
        <v>1.5325970478226772E-2</v>
      </c>
      <c r="F353" s="3">
        <f t="shared" si="98"/>
        <v>2.5879447987820759E-2</v>
      </c>
      <c r="G353" s="3">
        <f t="shared" si="98"/>
        <v>4.1745191688406104E-2</v>
      </c>
      <c r="H353" s="3">
        <f t="shared" si="98"/>
        <v>5.3109825313948332E-2</v>
      </c>
      <c r="I353" s="3">
        <f t="shared" si="98"/>
        <v>5.0088716847798621E-2</v>
      </c>
      <c r="J353" s="3">
        <f t="shared" si="98"/>
        <v>4.997254680792123E-2</v>
      </c>
      <c r="K353" s="3">
        <f t="shared" si="98"/>
        <v>4.3001435993187349E-2</v>
      </c>
      <c r="L353" s="3">
        <f t="shared" si="98"/>
        <v>4.3930929225726924E-2</v>
      </c>
      <c r="M353" s="3">
        <f t="shared" si="98"/>
        <v>3.0728674721250758E-2</v>
      </c>
      <c r="N353" s="3">
        <f t="shared" si="98"/>
        <v>3.5743619189626333E-2</v>
      </c>
      <c r="O353" s="3"/>
      <c r="P353" s="3"/>
    </row>
    <row r="354" spans="4:16" x14ac:dyDescent="0.25">
      <c r="D354" s="2">
        <v>35213</v>
      </c>
      <c r="E354" s="3">
        <f t="shared" ref="E354:N354" si="99">LN(E120/E101)</f>
        <v>1.5325970478226772E-2</v>
      </c>
      <c r="F354" s="3">
        <f t="shared" si="99"/>
        <v>2.7753862782171117E-2</v>
      </c>
      <c r="G354" s="3">
        <f t="shared" si="99"/>
        <v>4.0180077305530755E-2</v>
      </c>
      <c r="H354" s="3">
        <f t="shared" si="99"/>
        <v>5.1707802165506189E-2</v>
      </c>
      <c r="I354" s="3">
        <f t="shared" si="99"/>
        <v>5.032508388751563E-2</v>
      </c>
      <c r="J354" s="3">
        <f t="shared" si="99"/>
        <v>4.8641807222345866E-2</v>
      </c>
      <c r="K354" s="3">
        <f t="shared" si="99"/>
        <v>4.3129360897032239E-2</v>
      </c>
      <c r="L354" s="3">
        <f t="shared" si="99"/>
        <v>4.5562619678565494E-2</v>
      </c>
      <c r="M354" s="3">
        <f t="shared" si="99"/>
        <v>3.3663767820084706E-2</v>
      </c>
      <c r="N354" s="3">
        <f t="shared" si="99"/>
        <v>3.8714512180690427E-2</v>
      </c>
      <c r="O354" s="3"/>
      <c r="P354" s="3"/>
    </row>
    <row r="355" spans="4:16" x14ac:dyDescent="0.25">
      <c r="D355" s="2">
        <v>35214</v>
      </c>
      <c r="E355" s="3">
        <f t="shared" ref="E355:N355" si="100">LN(E121/E102)</f>
        <v>1.1538589556493806E-2</v>
      </c>
      <c r="F355" s="3">
        <f t="shared" si="100"/>
        <v>1.8553407895747834E-2</v>
      </c>
      <c r="G355" s="3">
        <f t="shared" si="100"/>
        <v>3.4907558210801951E-2</v>
      </c>
      <c r="H355" s="3">
        <f t="shared" si="100"/>
        <v>4.3660936116015944E-2</v>
      </c>
      <c r="I355" s="3">
        <f t="shared" si="100"/>
        <v>4.5498043139199584E-2</v>
      </c>
      <c r="J355" s="3">
        <f t="shared" si="100"/>
        <v>4.2559614418795903E-2</v>
      </c>
      <c r="K355" s="3">
        <f t="shared" si="100"/>
        <v>4.1672696400568081E-2</v>
      </c>
      <c r="L355" s="3">
        <f t="shared" si="100"/>
        <v>3.9681914591180791E-2</v>
      </c>
      <c r="M355" s="3">
        <f t="shared" si="100"/>
        <v>3.0857988359905282E-2</v>
      </c>
      <c r="N355" s="3">
        <f t="shared" si="100"/>
        <v>3.4436688269902337E-2</v>
      </c>
      <c r="O355" s="3"/>
      <c r="P355" s="3"/>
    </row>
    <row r="356" spans="4:16" x14ac:dyDescent="0.25">
      <c r="D356" s="2">
        <v>35215</v>
      </c>
      <c r="E356" s="3">
        <f t="shared" ref="E356:N356" si="101">LN(E122/E103)</f>
        <v>1.1516442061559301E-2</v>
      </c>
      <c r="F356" s="3">
        <f t="shared" si="101"/>
        <v>1.4815085785140682E-2</v>
      </c>
      <c r="G356" s="3">
        <f t="shared" si="101"/>
        <v>2.0834086902842053E-2</v>
      </c>
      <c r="H356" s="3">
        <f t="shared" si="101"/>
        <v>2.2472855852058576E-2</v>
      </c>
      <c r="I356" s="3">
        <f t="shared" si="101"/>
        <v>2.6501940745506627E-2</v>
      </c>
      <c r="J356" s="3">
        <f t="shared" si="101"/>
        <v>2.1116923440922829E-2</v>
      </c>
      <c r="K356" s="3">
        <f t="shared" si="101"/>
        <v>1.924559771523356E-2</v>
      </c>
      <c r="L356" s="3">
        <f t="shared" si="101"/>
        <v>2.0468550855395014E-2</v>
      </c>
      <c r="M356" s="3">
        <f t="shared" si="101"/>
        <v>1.398624197473987E-2</v>
      </c>
      <c r="N356" s="3">
        <f t="shared" si="101"/>
        <v>1.7143276986437438E-2</v>
      </c>
      <c r="O356" s="3"/>
      <c r="P356" s="3"/>
    </row>
    <row r="357" spans="4:16" x14ac:dyDescent="0.25">
      <c r="D357" s="2">
        <v>35216</v>
      </c>
      <c r="E357" s="3">
        <f t="shared" ref="E357:N357" si="102">LN(E123/E104)</f>
        <v>1.1516442061559301E-2</v>
      </c>
      <c r="F357" s="3">
        <f t="shared" si="102"/>
        <v>1.8519047767237531E-2</v>
      </c>
      <c r="G357" s="3">
        <f t="shared" si="102"/>
        <v>2.0797976694482134E-2</v>
      </c>
      <c r="H357" s="3">
        <f t="shared" si="102"/>
        <v>1.9231361927887592E-2</v>
      </c>
      <c r="I357" s="3">
        <f t="shared" si="102"/>
        <v>2.0234153363967791E-2</v>
      </c>
      <c r="J357" s="3">
        <f t="shared" si="102"/>
        <v>1.8154810280371744E-2</v>
      </c>
      <c r="K357" s="3">
        <f t="shared" si="102"/>
        <v>1.4815085785140682E-2</v>
      </c>
      <c r="L357" s="3">
        <f t="shared" si="102"/>
        <v>1.899253582727432E-2</v>
      </c>
      <c r="M357" s="3">
        <f t="shared" si="102"/>
        <v>1.5417264027327033E-2</v>
      </c>
      <c r="N357" s="3">
        <f t="shared" si="102"/>
        <v>1.8611847194598984E-2</v>
      </c>
      <c r="O357" s="3"/>
      <c r="P357" s="3"/>
    </row>
    <row r="358" spans="4:16" x14ac:dyDescent="0.25">
      <c r="D358" s="2">
        <v>35219</v>
      </c>
      <c r="E358" s="3">
        <f t="shared" ref="E358:N358" si="103">LN(E124/E105)</f>
        <v>3.8535693159899723E-3</v>
      </c>
      <c r="F358" s="3">
        <f t="shared" si="103"/>
        <v>1.1131840368844199E-2</v>
      </c>
      <c r="G358" s="3">
        <f t="shared" si="103"/>
        <v>0</v>
      </c>
      <c r="H358" s="3">
        <f t="shared" si="103"/>
        <v>-9.6154586994418693E-3</v>
      </c>
      <c r="I358" s="3">
        <f t="shared" si="103"/>
        <v>-4.6692691836836119E-3</v>
      </c>
      <c r="J358" s="3">
        <f t="shared" si="103"/>
        <v>-7.5586149739266147E-3</v>
      </c>
      <c r="K358" s="3">
        <f t="shared" si="103"/>
        <v>-8.888947417246152E-3</v>
      </c>
      <c r="L358" s="3">
        <f t="shared" si="103"/>
        <v>-2.9239786914352006E-3</v>
      </c>
      <c r="M358" s="3">
        <f t="shared" si="103"/>
        <v>-5.5944201853244365E-3</v>
      </c>
      <c r="N358" s="3">
        <f t="shared" si="103"/>
        <v>-1.4295928095944335E-3</v>
      </c>
      <c r="O358" s="3"/>
      <c r="P358" s="3"/>
    </row>
    <row r="359" spans="4:16" x14ac:dyDescent="0.25">
      <c r="D359" s="2">
        <v>35220</v>
      </c>
      <c r="E359" s="3">
        <f t="shared" ref="E359:N359" si="104">LN(E125/E106)</f>
        <v>-9.6062218054399802E-3</v>
      </c>
      <c r="F359" s="3">
        <f t="shared" si="104"/>
        <v>-7.4211843376168164E-3</v>
      </c>
      <c r="G359" s="3">
        <f t="shared" si="104"/>
        <v>-1.3937507843781624E-2</v>
      </c>
      <c r="H359" s="3">
        <f t="shared" si="104"/>
        <v>-2.4253411928503124E-2</v>
      </c>
      <c r="I359" s="3">
        <f t="shared" si="104"/>
        <v>-2.0424904852041004E-2</v>
      </c>
      <c r="J359" s="3">
        <f t="shared" si="104"/>
        <v>-2.5935854975533273E-2</v>
      </c>
      <c r="K359" s="3">
        <f t="shared" si="104"/>
        <v>-2.8338958318465994E-2</v>
      </c>
      <c r="L359" s="3">
        <f t="shared" si="104"/>
        <v>-2.0588962577621432E-2</v>
      </c>
      <c r="M359" s="3">
        <f t="shared" si="104"/>
        <v>-2.250446591038175E-2</v>
      </c>
      <c r="N359" s="3">
        <f t="shared" si="104"/>
        <v>-1.5816289443284892E-2</v>
      </c>
      <c r="O359" s="3"/>
      <c r="P359" s="3"/>
    </row>
    <row r="360" spans="4:16" x14ac:dyDescent="0.25">
      <c r="D360" s="2">
        <v>35221</v>
      </c>
      <c r="E360" s="3">
        <f t="shared" ref="E360:N360" si="105">LN(E126/E107)</f>
        <v>1.3371736965889241E-2</v>
      </c>
      <c r="F360" s="3">
        <f t="shared" si="105"/>
        <v>1.843318494289093E-3</v>
      </c>
      <c r="G360" s="3">
        <f t="shared" si="105"/>
        <v>-6.9444723528110461E-3</v>
      </c>
      <c r="H360" s="3">
        <f t="shared" si="105"/>
        <v>-1.4528100562909744E-2</v>
      </c>
      <c r="I360" s="3">
        <f t="shared" si="105"/>
        <v>-1.722830396017749E-2</v>
      </c>
      <c r="J360" s="3">
        <f t="shared" si="105"/>
        <v>-1.9832839232918217E-2</v>
      </c>
      <c r="K360" s="3">
        <f t="shared" si="105"/>
        <v>-2.5393448088709247E-2</v>
      </c>
      <c r="L360" s="3">
        <f t="shared" si="105"/>
        <v>-1.7647516813578228E-2</v>
      </c>
      <c r="M360" s="3">
        <f t="shared" si="105"/>
        <v>-2.1112677237559184E-2</v>
      </c>
      <c r="N360" s="3">
        <f t="shared" si="105"/>
        <v>-1.2940511275734708E-2</v>
      </c>
      <c r="O360" s="3"/>
      <c r="P360" s="3"/>
    </row>
    <row r="361" spans="4:16" x14ac:dyDescent="0.25">
      <c r="D361" s="2">
        <v>35222</v>
      </c>
      <c r="E361" s="3">
        <f t="shared" ref="E361:N361" si="106">LN(E127/E108)</f>
        <v>1.8975901459005823E-2</v>
      </c>
      <c r="F361" s="3">
        <f t="shared" si="106"/>
        <v>1.4679162663049075E-2</v>
      </c>
      <c r="G361" s="3">
        <f t="shared" si="106"/>
        <v>6.920442844573757E-3</v>
      </c>
      <c r="H361" s="3">
        <f t="shared" si="106"/>
        <v>-3.2102756302483213E-3</v>
      </c>
      <c r="I361" s="3">
        <f t="shared" si="106"/>
        <v>-4.6765478839017934E-3</v>
      </c>
      <c r="J361" s="3">
        <f t="shared" si="106"/>
        <v>-6.0790460763822263E-3</v>
      </c>
      <c r="K361" s="3">
        <f t="shared" si="106"/>
        <v>-1.1922644956906146E-2</v>
      </c>
      <c r="L361" s="3">
        <f t="shared" si="106"/>
        <v>-2.936859673309825E-3</v>
      </c>
      <c r="M361" s="3">
        <f t="shared" si="106"/>
        <v>-1.1267724846342269E-2</v>
      </c>
      <c r="N361" s="3">
        <f t="shared" si="106"/>
        <v>-2.8776998276150581E-3</v>
      </c>
      <c r="O361" s="3"/>
      <c r="P361" s="3"/>
    </row>
    <row r="362" spans="4:16" x14ac:dyDescent="0.25">
      <c r="D362" s="2">
        <v>35223</v>
      </c>
      <c r="E362" s="3">
        <f t="shared" ref="E362:N362" si="107">LN(E128/E109)</f>
        <v>5.7416425676751828E-3</v>
      </c>
      <c r="F362" s="3">
        <f t="shared" si="107"/>
        <v>5.5401803756153509E-3</v>
      </c>
      <c r="G362" s="3">
        <f t="shared" si="107"/>
        <v>6.9808311413401408E-3</v>
      </c>
      <c r="H362" s="3">
        <f t="shared" si="107"/>
        <v>6.4725145056175196E-3</v>
      </c>
      <c r="I362" s="3">
        <f t="shared" si="107"/>
        <v>6.3091691932647556E-3</v>
      </c>
      <c r="J362" s="3">
        <f t="shared" si="107"/>
        <v>1.5325673497782106E-3</v>
      </c>
      <c r="K362" s="3">
        <f t="shared" si="107"/>
        <v>0</v>
      </c>
      <c r="L362" s="3">
        <f t="shared" si="107"/>
        <v>2.9542118974316043E-3</v>
      </c>
      <c r="M362" s="3">
        <f t="shared" si="107"/>
        <v>-2.8288562004777137E-3</v>
      </c>
      <c r="N362" s="3">
        <f t="shared" si="107"/>
        <v>4.3321367391347372E-3</v>
      </c>
      <c r="O362" s="3"/>
      <c r="P362" s="3"/>
    </row>
    <row r="363" spans="4:16" x14ac:dyDescent="0.25">
      <c r="D363" s="2">
        <v>35226</v>
      </c>
      <c r="E363" s="3">
        <f t="shared" ref="E363:N363" si="108">LN(E129/E110)</f>
        <v>9.4608085042288889E-3</v>
      </c>
      <c r="F363" s="3">
        <f t="shared" si="108"/>
        <v>1.2578782206859965E-2</v>
      </c>
      <c r="G363" s="3">
        <f t="shared" si="108"/>
        <v>1.8597323815589418E-2</v>
      </c>
      <c r="H363" s="3">
        <f t="shared" si="108"/>
        <v>6.2305497506361628E-3</v>
      </c>
      <c r="I363" s="3">
        <f t="shared" si="108"/>
        <v>9.104766992919287E-3</v>
      </c>
      <c r="J363" s="3">
        <f t="shared" si="108"/>
        <v>1.0316966970932269E-2</v>
      </c>
      <c r="K363" s="3">
        <f t="shared" si="108"/>
        <v>1.1577553342442893E-2</v>
      </c>
      <c r="L363" s="3">
        <f t="shared" si="108"/>
        <v>1.8585238303338841E-2</v>
      </c>
      <c r="M363" s="3">
        <f t="shared" si="108"/>
        <v>1.2388320856952266E-2</v>
      </c>
      <c r="N363" s="3">
        <f t="shared" si="108"/>
        <v>1.9663554908778063E-2</v>
      </c>
      <c r="O363" s="3"/>
      <c r="P363" s="3"/>
    </row>
    <row r="364" spans="4:16" x14ac:dyDescent="0.25">
      <c r="D364" s="2">
        <v>35227</v>
      </c>
      <c r="E364" s="3">
        <f t="shared" ref="E364:N364" si="109">LN(E130/E111)</f>
        <v>1.1278315037707053E-2</v>
      </c>
      <c r="F364" s="3">
        <f t="shared" si="109"/>
        <v>1.6057436895858687E-2</v>
      </c>
      <c r="G364" s="3">
        <f t="shared" si="109"/>
        <v>1.6863806052004944E-2</v>
      </c>
      <c r="H364" s="3">
        <f t="shared" si="109"/>
        <v>4.676547883901803E-3</v>
      </c>
      <c r="I364" s="3">
        <f t="shared" si="109"/>
        <v>6.0606246116909545E-3</v>
      </c>
      <c r="J364" s="3">
        <f t="shared" si="109"/>
        <v>5.8910332372373421E-3</v>
      </c>
      <c r="K364" s="3">
        <f t="shared" si="109"/>
        <v>5.7720217971221907E-3</v>
      </c>
      <c r="L364" s="3">
        <f t="shared" si="109"/>
        <v>1.1412392051744765E-2</v>
      </c>
      <c r="M364" s="3">
        <f t="shared" si="109"/>
        <v>5.4794657646255705E-3</v>
      </c>
      <c r="N364" s="3">
        <f t="shared" si="109"/>
        <v>1.2596387685685786E-2</v>
      </c>
      <c r="O364" s="3"/>
      <c r="P364" s="3"/>
    </row>
    <row r="365" spans="4:16" x14ac:dyDescent="0.25">
      <c r="D365" s="2">
        <v>35228</v>
      </c>
      <c r="E365" s="3">
        <f t="shared" ref="E365:N365" si="110">LN(E131/E112)</f>
        <v>1.3195290418832642E-2</v>
      </c>
      <c r="F365" s="3">
        <f t="shared" si="110"/>
        <v>1.7921626617355552E-2</v>
      </c>
      <c r="G365" s="3">
        <f t="shared" si="110"/>
        <v>1.3536585717533321E-2</v>
      </c>
      <c r="H365" s="3">
        <f t="shared" si="110"/>
        <v>6.2598013485067345E-3</v>
      </c>
      <c r="I365" s="3">
        <f t="shared" si="110"/>
        <v>7.5930509075974161E-3</v>
      </c>
      <c r="J365" s="3">
        <f t="shared" si="110"/>
        <v>1.4760150281206794E-3</v>
      </c>
      <c r="K365" s="3">
        <f t="shared" si="110"/>
        <v>-2.8860048891349867E-3</v>
      </c>
      <c r="L365" s="3">
        <f t="shared" si="110"/>
        <v>1.4295928095943715E-3</v>
      </c>
      <c r="M365" s="3">
        <f t="shared" si="110"/>
        <v>-5.4869822162591933E-3</v>
      </c>
      <c r="N365" s="3">
        <f t="shared" si="110"/>
        <v>2.8011222797117733E-3</v>
      </c>
      <c r="O365" s="3"/>
      <c r="P365" s="3"/>
    </row>
    <row r="366" spans="4:16" x14ac:dyDescent="0.25">
      <c r="D366" s="2">
        <v>35229</v>
      </c>
      <c r="E366" s="3">
        <f t="shared" ref="E366:N366" si="111">LN(E132/E113)</f>
        <v>5.6872191205895144E-3</v>
      </c>
      <c r="F366" s="3">
        <f t="shared" si="111"/>
        <v>7.2072384049491666E-3</v>
      </c>
      <c r="G366" s="3">
        <f t="shared" si="111"/>
        <v>1.6992357529598428E-3</v>
      </c>
      <c r="H366" s="3">
        <f t="shared" si="111"/>
        <v>-7.855499940308883E-3</v>
      </c>
      <c r="I366" s="3">
        <f t="shared" si="111"/>
        <v>-1.0678972575854255E-2</v>
      </c>
      <c r="J366" s="3">
        <f t="shared" si="111"/>
        <v>-1.4793169177830577E-2</v>
      </c>
      <c r="K366" s="3">
        <f t="shared" si="111"/>
        <v>-2.0231903971585002E-2</v>
      </c>
      <c r="L366" s="3">
        <f t="shared" si="111"/>
        <v>-1.1445046245872821E-2</v>
      </c>
      <c r="M366" s="3">
        <f t="shared" si="111"/>
        <v>-1.7845360320010398E-2</v>
      </c>
      <c r="N366" s="3">
        <f t="shared" si="111"/>
        <v>-1.1204599012863132E-2</v>
      </c>
      <c r="O366" s="3"/>
      <c r="P366" s="3"/>
    </row>
    <row r="367" spans="4:16" x14ac:dyDescent="0.25">
      <c r="D367" s="2">
        <v>35230</v>
      </c>
      <c r="E367" s="3">
        <f t="shared" ref="E367:N367" si="112">LN(E133/E114)</f>
        <v>3.8095284166676487E-3</v>
      </c>
      <c r="F367" s="3">
        <f t="shared" si="112"/>
        <v>3.623192369420331E-3</v>
      </c>
      <c r="G367" s="3">
        <f t="shared" si="112"/>
        <v>0</v>
      </c>
      <c r="H367" s="3">
        <f t="shared" si="112"/>
        <v>-1.2658396871923465E-2</v>
      </c>
      <c r="I367" s="3">
        <f t="shared" si="112"/>
        <v>-1.3814494443188432E-2</v>
      </c>
      <c r="J367" s="3">
        <f t="shared" si="112"/>
        <v>-1.9302752254528596E-2</v>
      </c>
      <c r="K367" s="3">
        <f t="shared" si="112"/>
        <v>-2.0349539415279842E-2</v>
      </c>
      <c r="L367" s="3">
        <f t="shared" si="112"/>
        <v>-1.5816289443284892E-2</v>
      </c>
      <c r="M367" s="3">
        <f t="shared" si="112"/>
        <v>-1.7919156240264834E-2</v>
      </c>
      <c r="N367" s="3">
        <f t="shared" si="112"/>
        <v>-1.1251876797434919E-2</v>
      </c>
      <c r="O367" s="3"/>
      <c r="P367" s="3"/>
    </row>
    <row r="368" spans="4:16" x14ac:dyDescent="0.25">
      <c r="D368" s="2">
        <v>35233</v>
      </c>
      <c r="E368" s="3">
        <f t="shared" ref="E368:N368" si="113">LN(E134/E115)</f>
        <v>1.3346241952894704E-2</v>
      </c>
      <c r="F368" s="3">
        <f t="shared" si="113"/>
        <v>7.2727593290796569E-3</v>
      </c>
      <c r="G368" s="3">
        <f t="shared" si="113"/>
        <v>6.8728792877620504E-3</v>
      </c>
      <c r="H368" s="3">
        <f t="shared" si="113"/>
        <v>-4.7808856003420082E-3</v>
      </c>
      <c r="I368" s="3">
        <f t="shared" si="113"/>
        <v>-6.1823999083175391E-3</v>
      </c>
      <c r="J368" s="3">
        <f t="shared" si="113"/>
        <v>-1.0471299867295366E-2</v>
      </c>
      <c r="K368" s="3">
        <f t="shared" si="113"/>
        <v>-1.614121617938525E-2</v>
      </c>
      <c r="L368" s="3">
        <f t="shared" si="113"/>
        <v>-1.4493007302566864E-2</v>
      </c>
      <c r="M368" s="3">
        <f t="shared" si="113"/>
        <v>-1.5267472130788308E-2</v>
      </c>
      <c r="N368" s="3">
        <f t="shared" si="113"/>
        <v>-9.908078224696075E-3</v>
      </c>
      <c r="O368" s="3"/>
      <c r="P368" s="3"/>
    </row>
    <row r="369" spans="4:16" x14ac:dyDescent="0.25">
      <c r="D369" s="2">
        <v>35234</v>
      </c>
      <c r="E369" s="3">
        <f t="shared" ref="E369:N369" si="114">LN(E135/E116)</f>
        <v>2.4739606175755751E-2</v>
      </c>
      <c r="F369" s="3">
        <f t="shared" si="114"/>
        <v>1.9946264182379127E-2</v>
      </c>
      <c r="G369" s="3">
        <f t="shared" si="114"/>
        <v>1.3745920904635136E-2</v>
      </c>
      <c r="H369" s="3">
        <f t="shared" si="114"/>
        <v>7.9428535139367314E-3</v>
      </c>
      <c r="I369" s="3">
        <f t="shared" si="114"/>
        <v>4.6260683887822431E-3</v>
      </c>
      <c r="J369" s="3">
        <f t="shared" si="114"/>
        <v>-1.4981276210219922E-3</v>
      </c>
      <c r="K369" s="3">
        <f t="shared" si="114"/>
        <v>-4.4085302847659685E-3</v>
      </c>
      <c r="L369" s="3">
        <f t="shared" si="114"/>
        <v>-1.4503265776466359E-3</v>
      </c>
      <c r="M369" s="3">
        <f t="shared" si="114"/>
        <v>-5.5555698446021051E-3</v>
      </c>
      <c r="N369" s="3">
        <f t="shared" si="114"/>
        <v>1.4154284033307597E-3</v>
      </c>
      <c r="O369" s="3"/>
      <c r="P369" s="3"/>
    </row>
    <row r="370" spans="4:16" x14ac:dyDescent="0.25">
      <c r="D370" s="2">
        <v>35235</v>
      </c>
      <c r="E370" s="3">
        <f t="shared" ref="E370:N370" si="115">LN(E136/E117)</f>
        <v>1.1450506787995285E-2</v>
      </c>
      <c r="F370" s="3">
        <f t="shared" si="115"/>
        <v>5.4794657646255705E-3</v>
      </c>
      <c r="G370" s="3">
        <f t="shared" si="115"/>
        <v>-1.7316021642780463E-3</v>
      </c>
      <c r="H370" s="3">
        <f t="shared" si="115"/>
        <v>-7.9936476807454752E-3</v>
      </c>
      <c r="I370" s="3">
        <f t="shared" si="115"/>
        <v>-9.3023926623135612E-3</v>
      </c>
      <c r="J370" s="3">
        <f t="shared" si="115"/>
        <v>-1.5015297119995441E-2</v>
      </c>
      <c r="K370" s="3">
        <f t="shared" si="115"/>
        <v>-1.9104181310042274E-2</v>
      </c>
      <c r="L370" s="3">
        <f t="shared" si="115"/>
        <v>-1.3072081567352775E-2</v>
      </c>
      <c r="M370" s="3">
        <f t="shared" si="115"/>
        <v>-1.5288692515090466E-2</v>
      </c>
      <c r="N370" s="3">
        <f t="shared" si="115"/>
        <v>-8.4986347214625821E-3</v>
      </c>
      <c r="O370" s="3"/>
      <c r="P370" s="3"/>
    </row>
    <row r="371" spans="4:16" x14ac:dyDescent="0.25">
      <c r="D371" s="2">
        <v>35236</v>
      </c>
      <c r="E371" s="3">
        <f t="shared" ref="E371:N371" si="116">LN(E137/E118)</f>
        <v>5.7197486727869088E-3</v>
      </c>
      <c r="F371" s="3">
        <f t="shared" si="116"/>
        <v>5.4794657646255705E-3</v>
      </c>
      <c r="G371" s="3">
        <f t="shared" si="116"/>
        <v>-3.4482792789159327E-3</v>
      </c>
      <c r="H371" s="3">
        <f t="shared" si="116"/>
        <v>-1.2759343753759873E-2</v>
      </c>
      <c r="I371" s="3">
        <f t="shared" si="116"/>
        <v>-1.0827638652063503E-2</v>
      </c>
      <c r="J371" s="3">
        <f t="shared" si="116"/>
        <v>-1.9476271060620692E-2</v>
      </c>
      <c r="K371" s="3">
        <f t="shared" si="116"/>
        <v>-2.0528580141128707E-2</v>
      </c>
      <c r="L371" s="3">
        <f t="shared" si="116"/>
        <v>-1.8854800763629574E-2</v>
      </c>
      <c r="M371" s="3">
        <f t="shared" si="116"/>
        <v>-1.804351519393501E-2</v>
      </c>
      <c r="N371" s="3">
        <f t="shared" si="116"/>
        <v>-1.4144507386164738E-2</v>
      </c>
      <c r="O371" s="3"/>
      <c r="P371" s="3"/>
    </row>
    <row r="372" spans="4:16" x14ac:dyDescent="0.25">
      <c r="D372" s="2">
        <v>35237</v>
      </c>
      <c r="E372" s="3">
        <f t="shared" ref="E372:N372" si="117">LN(E138/E119)</f>
        <v>-1.9029501460860756E-3</v>
      </c>
      <c r="F372" s="3">
        <f t="shared" si="117"/>
        <v>-3.6563112031105433E-3</v>
      </c>
      <c r="G372" s="3">
        <f t="shared" si="117"/>
        <v>-1.3722342255101216E-2</v>
      </c>
      <c r="H372" s="3">
        <f t="shared" si="117"/>
        <v>-3.5091319811270061E-2</v>
      </c>
      <c r="I372" s="3">
        <f t="shared" si="117"/>
        <v>-3.5745841488394416E-2</v>
      </c>
      <c r="J372" s="3">
        <f t="shared" si="117"/>
        <v>-4.06989100225921E-2</v>
      </c>
      <c r="K372" s="3">
        <f t="shared" si="117"/>
        <v>-4.1487431161972205E-2</v>
      </c>
      <c r="L372" s="3">
        <f t="shared" si="117"/>
        <v>-3.7960762239223081E-2</v>
      </c>
      <c r="M372" s="3">
        <f t="shared" si="117"/>
        <v>-3.4993073507708236E-2</v>
      </c>
      <c r="N372" s="3">
        <f t="shared" si="117"/>
        <v>-2.8491955794306273E-2</v>
      </c>
      <c r="O372" s="3"/>
      <c r="P372" s="3"/>
    </row>
    <row r="373" spans="4:16" x14ac:dyDescent="0.25">
      <c r="D373" s="2">
        <v>35240</v>
      </c>
      <c r="E373" s="3">
        <f t="shared" ref="E373:N373" si="118">LN(E139/E120)</f>
        <v>3.7950709685517555E-3</v>
      </c>
      <c r="F373" s="3">
        <f t="shared" si="118"/>
        <v>3.6429912785010087E-3</v>
      </c>
      <c r="G373" s="3">
        <f t="shared" si="118"/>
        <v>-5.1502259763159053E-3</v>
      </c>
      <c r="H373" s="3">
        <f t="shared" si="118"/>
        <v>-2.7136541435000917E-2</v>
      </c>
      <c r="I373" s="3">
        <f t="shared" si="118"/>
        <v>-2.6419563033961264E-2</v>
      </c>
      <c r="J373" s="3">
        <f t="shared" si="118"/>
        <v>-2.8594875277055145E-2</v>
      </c>
      <c r="K373" s="3">
        <f t="shared" si="118"/>
        <v>-2.9544246306725655E-2</v>
      </c>
      <c r="L373" s="3">
        <f t="shared" si="118"/>
        <v>-2.6202372394024072E-2</v>
      </c>
      <c r="M373" s="3">
        <f t="shared" si="118"/>
        <v>-2.3727561160955042E-2</v>
      </c>
      <c r="N373" s="3">
        <f t="shared" si="118"/>
        <v>-1.9887019042717124E-2</v>
      </c>
      <c r="O373" s="3"/>
      <c r="P373" s="3"/>
    </row>
    <row r="374" spans="4:16" x14ac:dyDescent="0.25">
      <c r="D374" s="2">
        <v>35241</v>
      </c>
      <c r="E374" s="3">
        <f t="shared" ref="E374:N374" si="119">LN(E140/E121)</f>
        <v>1.32955424812445E-2</v>
      </c>
      <c r="F374" s="3">
        <f t="shared" si="119"/>
        <v>1.6408754666392224E-2</v>
      </c>
      <c r="G374" s="3">
        <f t="shared" si="119"/>
        <v>5.1326032265202161E-3</v>
      </c>
      <c r="H374" s="3">
        <f t="shared" si="119"/>
        <v>-1.4342875359404244E-2</v>
      </c>
      <c r="I374" s="3">
        <f t="shared" si="119"/>
        <v>-1.3899837689033597E-2</v>
      </c>
      <c r="J374" s="3">
        <f t="shared" si="119"/>
        <v>-1.499278458614128E-2</v>
      </c>
      <c r="K374" s="3">
        <f t="shared" si="119"/>
        <v>-1.9132298081157392E-2</v>
      </c>
      <c r="L374" s="3">
        <f t="shared" si="119"/>
        <v>-1.4514042884254071E-2</v>
      </c>
      <c r="M374" s="3">
        <f t="shared" si="119"/>
        <v>-1.6713480973740667E-2</v>
      </c>
      <c r="N374" s="3">
        <f t="shared" si="119"/>
        <v>-1.1347639497537391E-2</v>
      </c>
      <c r="O374" s="3"/>
      <c r="P374" s="3"/>
    </row>
    <row r="375" spans="4:16" x14ac:dyDescent="0.25">
      <c r="D375" s="2">
        <v>35242</v>
      </c>
      <c r="E375" s="3">
        <f t="shared" ref="E375:N375" si="120">LN(E141/E122)</f>
        <v>1.138532222512521E-2</v>
      </c>
      <c r="F375" s="3">
        <f t="shared" si="120"/>
        <v>1.4598799421152631E-2</v>
      </c>
      <c r="G375" s="3">
        <f t="shared" si="120"/>
        <v>5.1413995004186523E-3</v>
      </c>
      <c r="H375" s="3">
        <f t="shared" si="120"/>
        <v>-1.1173300598125076E-2</v>
      </c>
      <c r="I375" s="3">
        <f t="shared" si="120"/>
        <v>-1.2384059199721666E-2</v>
      </c>
      <c r="J375" s="3">
        <f t="shared" si="120"/>
        <v>-1.5037877364540559E-2</v>
      </c>
      <c r="K375" s="3">
        <f t="shared" si="120"/>
        <v>-1.7751945458450338E-2</v>
      </c>
      <c r="L375" s="3">
        <f t="shared" si="120"/>
        <v>-1.6047025597517559E-2</v>
      </c>
      <c r="M375" s="3">
        <f t="shared" si="120"/>
        <v>-1.6807118316381289E-2</v>
      </c>
      <c r="N375" s="3">
        <f t="shared" si="120"/>
        <v>-1.2829826732718139E-2</v>
      </c>
      <c r="O375" s="3"/>
      <c r="P375" s="3"/>
    </row>
    <row r="376" spans="4:16" x14ac:dyDescent="0.25">
      <c r="D376" s="2">
        <v>35243</v>
      </c>
      <c r="E376" s="3">
        <f t="shared" ref="E376:N376" si="121">LN(E142/E123)</f>
        <v>1.327033692089661E-2</v>
      </c>
      <c r="F376" s="3">
        <f t="shared" si="121"/>
        <v>1.4572206859090725E-2</v>
      </c>
      <c r="G376" s="3">
        <f t="shared" si="121"/>
        <v>5.1326032265202161E-3</v>
      </c>
      <c r="H376" s="3">
        <f t="shared" si="121"/>
        <v>-6.3694482854798227E-3</v>
      </c>
      <c r="I376" s="3">
        <f t="shared" si="121"/>
        <v>-4.633212921488143E-3</v>
      </c>
      <c r="J376" s="3">
        <f t="shared" si="121"/>
        <v>-6.0150557297612567E-3</v>
      </c>
      <c r="K376" s="3">
        <f t="shared" si="121"/>
        <v>-5.8997221271882708E-3</v>
      </c>
      <c r="L376" s="3">
        <f t="shared" si="121"/>
        <v>-5.8055315453205119E-3</v>
      </c>
      <c r="M376" s="3">
        <f t="shared" si="121"/>
        <v>-5.5788150270389978E-3</v>
      </c>
      <c r="N376" s="3">
        <f t="shared" si="121"/>
        <v>-1.4194466542262543E-3</v>
      </c>
      <c r="O376" s="3"/>
      <c r="P376" s="3"/>
    </row>
    <row r="377" spans="4:16" x14ac:dyDescent="0.25">
      <c r="D377" s="2">
        <v>35244</v>
      </c>
      <c r="E377" s="3">
        <f t="shared" ref="E377:N377" si="122">LN(E143/E124)</f>
        <v>1.7159620282826284E-2</v>
      </c>
      <c r="F377" s="3">
        <f t="shared" si="122"/>
        <v>2.0092000082688646E-2</v>
      </c>
      <c r="G377" s="3">
        <f t="shared" si="122"/>
        <v>1.3769580723757035E-2</v>
      </c>
      <c r="H377" s="3">
        <f t="shared" si="122"/>
        <v>1.120908453471996E-2</v>
      </c>
      <c r="I377" s="3">
        <f t="shared" si="122"/>
        <v>7.7700468619318584E-3</v>
      </c>
      <c r="J377" s="3">
        <f t="shared" si="122"/>
        <v>9.0635061533469105E-3</v>
      </c>
      <c r="K377" s="3">
        <f t="shared" si="122"/>
        <v>2.97177038915748E-3</v>
      </c>
      <c r="L377" s="3">
        <f t="shared" si="122"/>
        <v>5.8394326515593866E-3</v>
      </c>
      <c r="M377" s="3">
        <f t="shared" si="122"/>
        <v>1.4015419252884772E-3</v>
      </c>
      <c r="N377" s="3">
        <f t="shared" si="122"/>
        <v>7.1276139242321401E-3</v>
      </c>
      <c r="O377" s="3"/>
      <c r="P377" s="3"/>
    </row>
    <row r="378" spans="4:16" x14ac:dyDescent="0.25">
      <c r="D378" s="2">
        <v>35247</v>
      </c>
      <c r="E378" s="3">
        <f t="shared" ref="E378:N378" si="123">LN(E144/E125)</f>
        <v>2.101318959881639E-2</v>
      </c>
      <c r="F378" s="3">
        <f t="shared" si="123"/>
        <v>2.7549951768230434E-2</v>
      </c>
      <c r="G378" s="3">
        <f t="shared" si="123"/>
        <v>2.5975486403260521E-2</v>
      </c>
      <c r="H378" s="3">
        <f t="shared" si="123"/>
        <v>2.2654690564806176E-2</v>
      </c>
      <c r="I378" s="3">
        <f t="shared" si="123"/>
        <v>2.3530497410194251E-2</v>
      </c>
      <c r="J378" s="3">
        <f t="shared" si="123"/>
        <v>2.2919261436107709E-2</v>
      </c>
      <c r="K378" s="3">
        <f t="shared" si="123"/>
        <v>1.947627106062072E-2</v>
      </c>
      <c r="L378" s="3">
        <f t="shared" si="123"/>
        <v>1.7673508617497422E-2</v>
      </c>
      <c r="M378" s="3">
        <f t="shared" si="123"/>
        <v>1.2721019601310861E-2</v>
      </c>
      <c r="N378" s="3">
        <f t="shared" si="123"/>
        <v>1.7241806434505954E-2</v>
      </c>
      <c r="O378" s="3"/>
      <c r="P378" s="3"/>
    </row>
    <row r="379" spans="4:16" x14ac:dyDescent="0.25">
      <c r="D379" s="2">
        <v>35248</v>
      </c>
      <c r="E379" s="3">
        <f t="shared" ref="E379:N379" si="124">LN(E145/E126)</f>
        <v>1.8797545967502421E-2</v>
      </c>
      <c r="F379" s="3">
        <f t="shared" si="124"/>
        <v>2.3658974316646986E-2</v>
      </c>
      <c r="G379" s="3">
        <f t="shared" si="124"/>
        <v>3.2565002678158879E-2</v>
      </c>
      <c r="H379" s="3">
        <f t="shared" si="124"/>
        <v>2.7267126340339506E-2</v>
      </c>
      <c r="I379" s="3">
        <f t="shared" si="124"/>
        <v>2.6501940745506627E-2</v>
      </c>
      <c r="J379" s="3">
        <f t="shared" si="124"/>
        <v>3.0351343424138512E-2</v>
      </c>
      <c r="K379" s="3">
        <f t="shared" si="124"/>
        <v>2.9808466297825936E-2</v>
      </c>
      <c r="L379" s="3">
        <f t="shared" si="124"/>
        <v>2.7799888277596226E-2</v>
      </c>
      <c r="M379" s="3">
        <f t="shared" si="124"/>
        <v>2.2504465910381875E-2</v>
      </c>
      <c r="N379" s="3">
        <f t="shared" si="124"/>
        <v>2.5715702764457515E-2</v>
      </c>
      <c r="O379" s="3"/>
      <c r="P379" s="3"/>
    </row>
    <row r="380" spans="4:16" x14ac:dyDescent="0.25">
      <c r="D380" s="2">
        <v>35249</v>
      </c>
      <c r="E380" s="3">
        <f t="shared" ref="E380:N380" si="125">LN(E146/E127)</f>
        <v>3.7523496185503718E-3</v>
      </c>
      <c r="F380" s="3">
        <f t="shared" si="125"/>
        <v>3.6363676433837124E-3</v>
      </c>
      <c r="G380" s="3">
        <f t="shared" si="125"/>
        <v>1.3698844358161927E-2</v>
      </c>
      <c r="H380" s="3">
        <f t="shared" si="125"/>
        <v>1.2779726646399021E-2</v>
      </c>
      <c r="I380" s="3">
        <f t="shared" si="125"/>
        <v>1.0878118147182848E-2</v>
      </c>
      <c r="J380" s="3">
        <f t="shared" si="125"/>
        <v>1.3626251711765274E-2</v>
      </c>
      <c r="K380" s="3">
        <f t="shared" si="125"/>
        <v>1.4881226996651115E-2</v>
      </c>
      <c r="L380" s="3">
        <f t="shared" si="125"/>
        <v>1.3148472843506141E-2</v>
      </c>
      <c r="M380" s="3">
        <f t="shared" si="125"/>
        <v>1.1267724846342288E-2</v>
      </c>
      <c r="N380" s="3">
        <f t="shared" si="125"/>
        <v>1.5725842305464095E-2</v>
      </c>
      <c r="O380" s="3"/>
      <c r="P380" s="3"/>
    </row>
    <row r="381" spans="4:16" x14ac:dyDescent="0.25">
      <c r="D381" s="2">
        <v>35251</v>
      </c>
      <c r="E381" s="3">
        <f t="shared" ref="E381:N381" si="126">LN(E147/E128)</f>
        <v>1.5151805020602246E-2</v>
      </c>
      <c r="F381" s="3">
        <f t="shared" si="126"/>
        <v>7.3394824880457484E-3</v>
      </c>
      <c r="G381" s="3">
        <f t="shared" si="126"/>
        <v>1.7241806434505954E-2</v>
      </c>
      <c r="H381" s="3">
        <f t="shared" si="126"/>
        <v>3.2206147000421572E-3</v>
      </c>
      <c r="I381" s="3">
        <f t="shared" si="126"/>
        <v>4.7058910374124926E-3</v>
      </c>
      <c r="J381" s="3">
        <f t="shared" si="126"/>
        <v>6.1068892081794805E-3</v>
      </c>
      <c r="K381" s="3">
        <f t="shared" si="126"/>
        <v>1.4981276210219918E-3</v>
      </c>
      <c r="L381" s="3">
        <f t="shared" si="126"/>
        <v>2.9455102297567446E-3</v>
      </c>
      <c r="M381" s="3">
        <f t="shared" si="126"/>
        <v>1.4154284033307597E-3</v>
      </c>
      <c r="N381" s="3">
        <f t="shared" si="126"/>
        <v>5.7471422555680713E-3</v>
      </c>
      <c r="O381" s="3"/>
      <c r="P381" s="3"/>
    </row>
    <row r="382" spans="4:16" x14ac:dyDescent="0.25">
      <c r="D382" s="2">
        <v>35254</v>
      </c>
      <c r="E382" s="3">
        <f t="shared" ref="E382:N382" si="127">LN(E148/E129)</f>
        <v>-1.1363758650314982E-2</v>
      </c>
      <c r="F382" s="3">
        <f t="shared" si="127"/>
        <v>-3.4517504882713268E-2</v>
      </c>
      <c r="G382" s="3">
        <f t="shared" si="127"/>
        <v>-3.928771707303557E-2</v>
      </c>
      <c r="H382" s="3">
        <f t="shared" si="127"/>
        <v>-5.7523844138186599E-2</v>
      </c>
      <c r="I382" s="3">
        <f t="shared" si="127"/>
        <v>-5.751390620060675E-2</v>
      </c>
      <c r="J382" s="3">
        <f t="shared" si="127"/>
        <v>-6.2000200922792119E-2</v>
      </c>
      <c r="K382" s="3">
        <f t="shared" si="127"/>
        <v>-6.3867283638139316E-2</v>
      </c>
      <c r="L382" s="3">
        <f t="shared" si="127"/>
        <v>-5.9828196837387791E-2</v>
      </c>
      <c r="M382" s="3">
        <f t="shared" si="127"/>
        <v>-5.1941499242973872E-2</v>
      </c>
      <c r="N382" s="3">
        <f t="shared" si="127"/>
        <v>-4.9903440098496246E-2</v>
      </c>
      <c r="O382" s="3"/>
      <c r="P382" s="3"/>
    </row>
    <row r="383" spans="4:16" x14ac:dyDescent="0.25">
      <c r="D383" s="2">
        <v>35255</v>
      </c>
      <c r="E383" s="3">
        <f t="shared" ref="E383:N383" si="128">LN(E149/E130)</f>
        <v>-2.651670514263961E-2</v>
      </c>
      <c r="F383" s="3">
        <f t="shared" si="128"/>
        <v>-6.0182241804796512E-2</v>
      </c>
      <c r="G383" s="3">
        <f t="shared" si="128"/>
        <v>-6.5653970221437014E-2</v>
      </c>
      <c r="H383" s="3">
        <f t="shared" si="128"/>
        <v>-8.4328706831521147E-2</v>
      </c>
      <c r="I383" s="3">
        <f t="shared" si="128"/>
        <v>-8.3447288227111241E-2</v>
      </c>
      <c r="J383" s="3">
        <f t="shared" si="128"/>
        <v>-8.4211935049413794E-2</v>
      </c>
      <c r="K383" s="3">
        <f t="shared" si="128"/>
        <v>-8.5573562220002355E-2</v>
      </c>
      <c r="L383" s="3">
        <f t="shared" si="128"/>
        <v>-7.9688160603699404E-2</v>
      </c>
      <c r="M383" s="3">
        <f t="shared" si="128"/>
        <v>-6.928565439052152E-2</v>
      </c>
      <c r="N383" s="3">
        <f t="shared" si="128"/>
        <v>-6.4631246808739704E-2</v>
      </c>
      <c r="O383" s="3"/>
      <c r="P383" s="3"/>
    </row>
    <row r="384" spans="4:16" x14ac:dyDescent="0.25">
      <c r="D384" s="2">
        <v>35256</v>
      </c>
      <c r="E384" s="3">
        <f t="shared" ref="E384:N384" si="129">LN(E150/E131)</f>
        <v>-2.6567027384721751E-2</v>
      </c>
      <c r="F384" s="3">
        <f t="shared" si="129"/>
        <v>-5.6636138798045889E-2</v>
      </c>
      <c r="G384" s="3">
        <f t="shared" si="129"/>
        <v>-6.0624621816434972E-2</v>
      </c>
      <c r="H384" s="3">
        <f t="shared" si="129"/>
        <v>-7.7835057922944706E-2</v>
      </c>
      <c r="I384" s="3">
        <f t="shared" si="129"/>
        <v>-8.0294882684329452E-2</v>
      </c>
      <c r="J384" s="3">
        <f t="shared" si="129"/>
        <v>-7.6607121472196935E-2</v>
      </c>
      <c r="K384" s="3">
        <f t="shared" si="129"/>
        <v>-7.8117779263951928E-2</v>
      </c>
      <c r="L384" s="3">
        <f t="shared" si="129"/>
        <v>-6.9503205766973525E-2</v>
      </c>
      <c r="M384" s="3">
        <f t="shared" si="129"/>
        <v>-6.0968559910968834E-2</v>
      </c>
      <c r="N384" s="3">
        <f t="shared" si="129"/>
        <v>-5.7569851821477822E-2</v>
      </c>
      <c r="O384" s="3"/>
      <c r="P384" s="3"/>
    </row>
    <row r="385" spans="4:16" x14ac:dyDescent="0.25">
      <c r="D385" s="2">
        <v>35257</v>
      </c>
      <c r="E385" s="3">
        <f t="shared" ref="E385:N385" si="130">LN(E151/E132)</f>
        <v>-1.9084548692410701E-2</v>
      </c>
      <c r="F385" s="3">
        <f t="shared" si="130"/>
        <v>-4.5921750585639583E-2</v>
      </c>
      <c r="G385" s="3">
        <f t="shared" si="130"/>
        <v>-4.8705278128890278E-2</v>
      </c>
      <c r="H385" s="3">
        <f t="shared" si="130"/>
        <v>-6.6854555439500515E-2</v>
      </c>
      <c r="I385" s="3">
        <f t="shared" si="130"/>
        <v>-6.1679625990441543E-2</v>
      </c>
      <c r="J385" s="3">
        <f t="shared" si="130"/>
        <v>-6.4637880271241288E-2</v>
      </c>
      <c r="K385" s="3">
        <f t="shared" si="130"/>
        <v>-6.4830534572264051E-2</v>
      </c>
      <c r="L385" s="3">
        <f t="shared" si="130"/>
        <v>-6.0804494107593421E-2</v>
      </c>
      <c r="M385" s="3">
        <f t="shared" si="130"/>
        <v>-5.1147511166940968E-2</v>
      </c>
      <c r="N385" s="3">
        <f t="shared" si="130"/>
        <v>-4.9071893992396948E-2</v>
      </c>
      <c r="O385" s="3"/>
      <c r="P385" s="3"/>
    </row>
    <row r="386" spans="4:16" x14ac:dyDescent="0.25">
      <c r="D386" s="2">
        <v>35258</v>
      </c>
      <c r="E386" s="3">
        <f t="shared" ref="E386:N386" si="131">LN(E152/E133)</f>
        <v>-1.5325970478226821E-2</v>
      </c>
      <c r="F386" s="3">
        <f t="shared" si="131"/>
        <v>-3.6836577356490312E-2</v>
      </c>
      <c r="G386" s="3">
        <f t="shared" si="131"/>
        <v>-4.0109997338165386E-2</v>
      </c>
      <c r="H386" s="3">
        <f t="shared" si="131"/>
        <v>-5.0623053075596634E-2</v>
      </c>
      <c r="I386" s="3">
        <f t="shared" si="131"/>
        <v>-5.235136635375813E-2</v>
      </c>
      <c r="J386" s="3">
        <f t="shared" si="131"/>
        <v>-5.7070226530045412E-2</v>
      </c>
      <c r="K386" s="3">
        <f t="shared" si="131"/>
        <v>-5.7417581911892966E-2</v>
      </c>
      <c r="L386" s="3">
        <f t="shared" si="131"/>
        <v>-5.2056361956053267E-2</v>
      </c>
      <c r="M386" s="3">
        <f t="shared" si="131"/>
        <v>-4.5527065498697394E-2</v>
      </c>
      <c r="N386" s="3">
        <f t="shared" si="131"/>
        <v>-4.1883377956177158E-2</v>
      </c>
      <c r="O386" s="3"/>
      <c r="P386" s="3"/>
    </row>
    <row r="387" spans="4:16" x14ac:dyDescent="0.25">
      <c r="D387" s="2">
        <v>35261</v>
      </c>
      <c r="E387" s="3">
        <f t="shared" ref="E387:N387" si="132">LN(E153/E134)</f>
        <v>-2.4929383042525361E-2</v>
      </c>
      <c r="F387" s="3">
        <f t="shared" si="132"/>
        <v>-3.5026622111250696E-2</v>
      </c>
      <c r="G387" s="3">
        <f t="shared" si="132"/>
        <v>-3.8399132934535909E-2</v>
      </c>
      <c r="H387" s="3">
        <f t="shared" si="132"/>
        <v>-4.7433257707496429E-2</v>
      </c>
      <c r="I387" s="3">
        <f t="shared" si="132"/>
        <v>-4.925538864863007E-2</v>
      </c>
      <c r="J387" s="3">
        <f t="shared" si="132"/>
        <v>-5.5655783955413658E-2</v>
      </c>
      <c r="K387" s="3">
        <f t="shared" si="132"/>
        <v>-5.0048351805344671E-2</v>
      </c>
      <c r="L387" s="3">
        <f t="shared" si="132"/>
        <v>-4.3258049318136267E-2</v>
      </c>
      <c r="M387" s="3">
        <f t="shared" si="132"/>
        <v>-3.7041271680349215E-2</v>
      </c>
      <c r="N387" s="3">
        <f t="shared" si="132"/>
        <v>-3.9163815767700921E-2</v>
      </c>
      <c r="O387" s="3"/>
      <c r="P387" s="3"/>
    </row>
    <row r="388" spans="4:16" x14ac:dyDescent="0.25">
      <c r="D388" s="2">
        <v>35262</v>
      </c>
      <c r="E388" s="3">
        <f t="shared" ref="E388:N388" si="133">LN(E154/E135)</f>
        <v>-3.2476588677908196E-2</v>
      </c>
      <c r="F388" s="3">
        <f t="shared" si="133"/>
        <v>-4.5921750585639583E-2</v>
      </c>
      <c r="G388" s="3">
        <f t="shared" si="133"/>
        <v>-5.0754549649728552E-2</v>
      </c>
      <c r="H388" s="3">
        <f t="shared" si="133"/>
        <v>-6.3694995149132086E-2</v>
      </c>
      <c r="I388" s="3">
        <f t="shared" si="133"/>
        <v>-6.5154095179785834E-2</v>
      </c>
      <c r="J388" s="3">
        <f t="shared" si="133"/>
        <v>-6.5038396179222205E-2</v>
      </c>
      <c r="K388" s="3">
        <f t="shared" si="133"/>
        <v>-6.3851471986532779E-2</v>
      </c>
      <c r="L388" s="3">
        <f t="shared" si="133"/>
        <v>-5.8268908123975761E-2</v>
      </c>
      <c r="M388" s="3">
        <f t="shared" si="133"/>
        <v>-4.9974709477434043E-2</v>
      </c>
      <c r="N388" s="3">
        <f t="shared" si="133"/>
        <v>-5.3752953511561043E-2</v>
      </c>
      <c r="O388" s="3"/>
      <c r="P388" s="3"/>
    </row>
    <row r="389" spans="4:16" x14ac:dyDescent="0.25">
      <c r="D389" s="2">
        <v>35263</v>
      </c>
      <c r="E389" s="3">
        <f t="shared" ref="E389:N389" si="134">LN(E155/E136)</f>
        <v>-1.722530628187928E-2</v>
      </c>
      <c r="F389" s="3">
        <f t="shared" si="134"/>
        <v>-3.5221434963363191E-2</v>
      </c>
      <c r="G389" s="3">
        <f t="shared" si="134"/>
        <v>-3.3483304126788564E-2</v>
      </c>
      <c r="H389" s="3">
        <f t="shared" si="134"/>
        <v>-5.103988390344754E-2</v>
      </c>
      <c r="I389" s="3">
        <f t="shared" si="134"/>
        <v>-5.4413421723794174E-2</v>
      </c>
      <c r="J389" s="3">
        <f t="shared" si="134"/>
        <v>-5.7603471482258611E-2</v>
      </c>
      <c r="K389" s="3">
        <f t="shared" si="134"/>
        <v>-5.6460455340143753E-2</v>
      </c>
      <c r="L389" s="3">
        <f t="shared" si="134"/>
        <v>-5.2525200918460364E-2</v>
      </c>
      <c r="M389" s="3">
        <f t="shared" si="134"/>
        <v>-4.5853304496122238E-2</v>
      </c>
      <c r="N389" s="3">
        <f t="shared" si="134"/>
        <v>-4.8079179425653193E-2</v>
      </c>
      <c r="O389" s="3"/>
      <c r="P389" s="3"/>
    </row>
    <row r="390" spans="4:16" x14ac:dyDescent="0.25">
      <c r="D390" s="2">
        <v>35264</v>
      </c>
      <c r="E390" s="3">
        <f t="shared" ref="E390:N390" si="135">LN(E156/E137)</f>
        <v>-1.7258338229280711E-2</v>
      </c>
      <c r="F390" s="3">
        <f t="shared" si="135"/>
        <v>-3.1454952167886248E-2</v>
      </c>
      <c r="G390" s="3">
        <f t="shared" si="135"/>
        <v>-2.8022849433304926E-2</v>
      </c>
      <c r="H390" s="3">
        <f t="shared" si="135"/>
        <v>-4.2629405394851196E-2</v>
      </c>
      <c r="I390" s="3">
        <f t="shared" si="135"/>
        <v>-4.6149796090476966E-2</v>
      </c>
      <c r="J390" s="3">
        <f t="shared" si="135"/>
        <v>-4.4864445704828844E-2</v>
      </c>
      <c r="K390" s="3">
        <f t="shared" si="135"/>
        <v>-4.7013964768176091E-2</v>
      </c>
      <c r="L390" s="3">
        <f t="shared" si="135"/>
        <v>-3.8810841086179493E-2</v>
      </c>
      <c r="M390" s="3">
        <f t="shared" si="135"/>
        <v>-3.1297006721914822E-2</v>
      </c>
      <c r="N390" s="3">
        <f t="shared" si="135"/>
        <v>-3.4786116085415424E-2</v>
      </c>
      <c r="O390" s="3"/>
      <c r="P390" s="3"/>
    </row>
    <row r="391" spans="4:16" x14ac:dyDescent="0.25">
      <c r="D391" s="2">
        <v>35265</v>
      </c>
      <c r="E391" s="3">
        <f t="shared" ref="E391:N391" si="136">LN(E157/E138)</f>
        <v>-1.7291497110060994E-2</v>
      </c>
      <c r="F391" s="3">
        <f t="shared" si="136"/>
        <v>-2.7856954502966224E-2</v>
      </c>
      <c r="G391" s="3">
        <f t="shared" si="136"/>
        <v>-3.1581572050298927E-2</v>
      </c>
      <c r="H391" s="3">
        <f t="shared" si="136"/>
        <v>-3.1329850140917742E-2</v>
      </c>
      <c r="I391" s="3">
        <f t="shared" si="136"/>
        <v>-2.8894465999715003E-2</v>
      </c>
      <c r="J391" s="3">
        <f t="shared" si="136"/>
        <v>-2.6501940745506648E-2</v>
      </c>
      <c r="K391" s="3">
        <f t="shared" si="136"/>
        <v>-2.2954336069084435E-2</v>
      </c>
      <c r="L391" s="3">
        <f t="shared" si="136"/>
        <v>-2.1053409197832267E-2</v>
      </c>
      <c r="M391" s="3">
        <f t="shared" si="136"/>
        <v>-1.434744840814154E-2</v>
      </c>
      <c r="N391" s="3">
        <f t="shared" si="136"/>
        <v>-2.0438667677273956E-2</v>
      </c>
      <c r="O391" s="3"/>
      <c r="P391" s="3"/>
    </row>
    <row r="392" spans="4:16" x14ac:dyDescent="0.25">
      <c r="D392" s="2">
        <v>35268</v>
      </c>
      <c r="E392" s="3">
        <f t="shared" ref="E392:N392" si="137">LN(E158/E139)</f>
        <v>-1.7192400540372764E-2</v>
      </c>
      <c r="F392" s="3">
        <f t="shared" si="137"/>
        <v>-2.9522439266321841E-2</v>
      </c>
      <c r="G392" s="3">
        <f t="shared" si="137"/>
        <v>-2.6156678648728234E-2</v>
      </c>
      <c r="H392" s="3">
        <f t="shared" si="137"/>
        <v>-2.9558802241544391E-2</v>
      </c>
      <c r="I392" s="3">
        <f t="shared" si="137"/>
        <v>-2.8755974987303805E-2</v>
      </c>
      <c r="J392" s="3">
        <f t="shared" si="137"/>
        <v>-2.7865580063088483E-2</v>
      </c>
      <c r="K392" s="3">
        <f t="shared" si="137"/>
        <v>-2.7357329211533651E-2</v>
      </c>
      <c r="L392" s="3">
        <f t="shared" si="137"/>
        <v>-2.3881732003387359E-2</v>
      </c>
      <c r="M392" s="3">
        <f t="shared" si="137"/>
        <v>-1.8532248128927654E-2</v>
      </c>
      <c r="N392" s="3">
        <f t="shared" si="137"/>
        <v>-2.1755752917061749E-2</v>
      </c>
      <c r="O392" s="3"/>
      <c r="P392" s="3"/>
    </row>
    <row r="393" spans="4:16" x14ac:dyDescent="0.25">
      <c r="D393" s="2">
        <v>35269</v>
      </c>
      <c r="E393" s="3">
        <f t="shared" ref="E393:N393" si="138">LN(E159/E140)</f>
        <v>-2.2901764286684455E-2</v>
      </c>
      <c r="F393" s="3">
        <f t="shared" si="138"/>
        <v>-3.8714512180690393E-2</v>
      </c>
      <c r="G393" s="3">
        <f t="shared" si="138"/>
        <v>-4.3598884054316264E-2</v>
      </c>
      <c r="H393" s="3">
        <f t="shared" si="138"/>
        <v>-4.5985113241823382E-2</v>
      </c>
      <c r="I393" s="3">
        <f t="shared" si="138"/>
        <v>-4.7779788301408013E-2</v>
      </c>
      <c r="J393" s="3">
        <f t="shared" si="138"/>
        <v>-4.7959693395795165E-2</v>
      </c>
      <c r="K393" s="3">
        <f t="shared" si="138"/>
        <v>-4.5600605407108481E-2</v>
      </c>
      <c r="L393" s="3">
        <f t="shared" si="138"/>
        <v>-4.1797128678461477E-2</v>
      </c>
      <c r="M393" s="3">
        <f t="shared" si="138"/>
        <v>-3.1386313820670718E-2</v>
      </c>
      <c r="N393" s="3">
        <f t="shared" si="138"/>
        <v>-3.4836614122315118E-2</v>
      </c>
      <c r="O393" s="3"/>
      <c r="P393" s="3"/>
    </row>
    <row r="394" spans="4:16" x14ac:dyDescent="0.25">
      <c r="D394" s="2">
        <v>35270</v>
      </c>
      <c r="E394" s="3">
        <f t="shared" ref="E394:N394" si="139">LN(E160/E141)</f>
        <v>-1.9048194970694363E-2</v>
      </c>
      <c r="F394" s="3">
        <f t="shared" si="139"/>
        <v>-3.1281299381088791E-2</v>
      </c>
      <c r="G394" s="3">
        <f t="shared" si="139"/>
        <v>-3.6557595733797577E-2</v>
      </c>
      <c r="H394" s="3">
        <f t="shared" si="139"/>
        <v>-4.2629405394851196E-2</v>
      </c>
      <c r="I394" s="3">
        <f t="shared" si="139"/>
        <v>-4.2966035883443249E-2</v>
      </c>
      <c r="J394" s="3">
        <f t="shared" si="139"/>
        <v>-4.0190880583245221E-2</v>
      </c>
      <c r="K394" s="3">
        <f t="shared" si="139"/>
        <v>-3.4931417884111256E-2</v>
      </c>
      <c r="L394" s="3">
        <f t="shared" si="139"/>
        <v>-3.1369263667645163E-2</v>
      </c>
      <c r="M394" s="3">
        <f t="shared" si="139"/>
        <v>-1.9972133186915243E-2</v>
      </c>
      <c r="N394" s="3">
        <f t="shared" si="139"/>
        <v>-2.4692612590371522E-2</v>
      </c>
      <c r="O394" s="3"/>
      <c r="P394" s="3"/>
    </row>
    <row r="395" spans="4:16" x14ac:dyDescent="0.25">
      <c r="D395" s="2">
        <v>35271</v>
      </c>
      <c r="E395" s="3">
        <f t="shared" ref="E395:N395" si="140">LN(E161/E142)</f>
        <v>-2.478677898245581E-2</v>
      </c>
      <c r="F395" s="3">
        <f t="shared" si="140"/>
        <v>-3.8714512180690393E-2</v>
      </c>
      <c r="G395" s="3">
        <f t="shared" si="140"/>
        <v>-4.1817939683321599E-2</v>
      </c>
      <c r="H395" s="3">
        <f t="shared" si="140"/>
        <v>-4.7433257707496429E-2</v>
      </c>
      <c r="I395" s="3">
        <f t="shared" si="140"/>
        <v>-5.0804575635459405E-2</v>
      </c>
      <c r="J395" s="3">
        <f t="shared" si="140"/>
        <v>-4.4726035748636539E-2</v>
      </c>
      <c r="K395" s="3">
        <f t="shared" si="140"/>
        <v>-4.3846781542063583E-2</v>
      </c>
      <c r="L395" s="3">
        <f t="shared" si="140"/>
        <v>-4.1610757719842142E-2</v>
      </c>
      <c r="M395" s="3">
        <f t="shared" si="140"/>
        <v>-2.9810582187203182E-2</v>
      </c>
      <c r="N395" s="3">
        <f t="shared" si="140"/>
        <v>-3.4685557987890102E-2</v>
      </c>
      <c r="O395" s="3"/>
      <c r="P395" s="3"/>
    </row>
    <row r="396" spans="4:16" x14ac:dyDescent="0.25">
      <c r="D396" s="2">
        <v>35272</v>
      </c>
      <c r="E396" s="3">
        <f t="shared" ref="E396:N396" si="141">LN(E162/E143)</f>
        <v>-2.8765166403134323E-2</v>
      </c>
      <c r="F396" s="3">
        <f t="shared" si="141"/>
        <v>-4.2480994976167349E-2</v>
      </c>
      <c r="G396" s="3">
        <f t="shared" si="141"/>
        <v>-4.0109997338165386E-2</v>
      </c>
      <c r="H396" s="3">
        <f t="shared" si="141"/>
        <v>-4.7278568352749378E-2</v>
      </c>
      <c r="I396" s="3">
        <f t="shared" si="141"/>
        <v>-4.9177235976083859E-2</v>
      </c>
      <c r="J396" s="3">
        <f t="shared" si="141"/>
        <v>-4.6162041763162603E-2</v>
      </c>
      <c r="K396" s="3">
        <f t="shared" si="141"/>
        <v>-3.7797394208217046E-2</v>
      </c>
      <c r="L396" s="3">
        <f t="shared" si="141"/>
        <v>-3.8580452370662995E-2</v>
      </c>
      <c r="M396" s="3">
        <f t="shared" si="141"/>
        <v>-2.409755157906053E-2</v>
      </c>
      <c r="N396" s="3">
        <f t="shared" si="141"/>
        <v>-3.0283496587252295E-2</v>
      </c>
      <c r="O396" s="3"/>
      <c r="P396" s="3"/>
    </row>
    <row r="397" spans="4:16" x14ac:dyDescent="0.25">
      <c r="D397" s="2">
        <v>35275</v>
      </c>
      <c r="E397" s="3">
        <f t="shared" ref="E397:N397" si="142">LN(E163/E144)</f>
        <v>-2.8765166403134323E-2</v>
      </c>
      <c r="F397" s="3">
        <f t="shared" si="142"/>
        <v>-4.2559614418795889E-2</v>
      </c>
      <c r="G397" s="3">
        <f t="shared" si="142"/>
        <v>-4.0109997338165386E-2</v>
      </c>
      <c r="H397" s="3">
        <f t="shared" si="142"/>
        <v>-4.0821994520255166E-2</v>
      </c>
      <c r="I397" s="3">
        <f t="shared" si="142"/>
        <v>-4.2761859338081819E-2</v>
      </c>
      <c r="J397" s="3">
        <f t="shared" si="142"/>
        <v>-3.6927272592218362E-2</v>
      </c>
      <c r="K397" s="3">
        <f t="shared" si="142"/>
        <v>-3.4720468703737802E-2</v>
      </c>
      <c r="L397" s="3">
        <f t="shared" si="142"/>
        <v>-3.4153282325217062E-2</v>
      </c>
      <c r="M397" s="3">
        <f t="shared" si="142"/>
        <v>-2.1292500651451905E-2</v>
      </c>
      <c r="N397" s="3">
        <f t="shared" si="142"/>
        <v>-2.5975486403260563E-2</v>
      </c>
      <c r="O397" s="3"/>
      <c r="P397" s="3"/>
    </row>
    <row r="398" spans="4:16" x14ac:dyDescent="0.25">
      <c r="D398" s="2">
        <v>35276</v>
      </c>
      <c r="E398" s="3">
        <f t="shared" ref="E398:N398" si="143">LN(E164/E145)</f>
        <v>-4.1831193845128498E-2</v>
      </c>
      <c r="F398" s="3">
        <f t="shared" si="143"/>
        <v>-4.4124804908937824E-2</v>
      </c>
      <c r="G398" s="3">
        <f t="shared" si="143"/>
        <v>-4.1313964871394368E-2</v>
      </c>
      <c r="H398" s="3">
        <f t="shared" si="143"/>
        <v>-3.7071126436960485E-2</v>
      </c>
      <c r="I398" s="3">
        <f t="shared" si="143"/>
        <v>-3.6025822256762173E-2</v>
      </c>
      <c r="J398" s="3">
        <f t="shared" si="143"/>
        <v>-3.1893363775953733E-2</v>
      </c>
      <c r="K398" s="3">
        <f t="shared" si="143"/>
        <v>-2.9808466297825971E-2</v>
      </c>
      <c r="L398" s="3">
        <f t="shared" si="143"/>
        <v>-3.077165866675366E-2</v>
      </c>
      <c r="M398" s="3">
        <f t="shared" si="143"/>
        <v>-1.8246120227804721E-2</v>
      </c>
      <c r="N398" s="3">
        <f t="shared" si="143"/>
        <v>-2.2825527342224344E-2</v>
      </c>
      <c r="O398" s="3"/>
      <c r="P398" s="3"/>
    </row>
    <row r="399" spans="4:16" x14ac:dyDescent="0.25">
      <c r="D399" s="2">
        <v>35277</v>
      </c>
      <c r="E399" s="3">
        <f t="shared" ref="E399:N399" si="144">LN(E165/E146)</f>
        <v>-2.4645797206827868E-2</v>
      </c>
      <c r="F399" s="3">
        <f t="shared" si="144"/>
        <v>-2.5736714644049707E-2</v>
      </c>
      <c r="G399" s="3">
        <f t="shared" si="144"/>
        <v>-1.8884681390527437E-2</v>
      </c>
      <c r="H399" s="3">
        <f t="shared" si="144"/>
        <v>-1.9231361927887644E-2</v>
      </c>
      <c r="I399" s="3">
        <f t="shared" si="144"/>
        <v>-1.5576638928737112E-2</v>
      </c>
      <c r="J399" s="3">
        <f t="shared" si="144"/>
        <v>-1.2103022171243649E-2</v>
      </c>
      <c r="K399" s="3">
        <f t="shared" si="144"/>
        <v>-1.1887212784046369E-2</v>
      </c>
      <c r="L399" s="3">
        <f t="shared" si="144"/>
        <v>-1.3148472843506211E-2</v>
      </c>
      <c r="M399" s="3">
        <f t="shared" si="144"/>
        <v>0</v>
      </c>
      <c r="N399" s="3">
        <f t="shared" si="144"/>
        <v>-7.1174677688639896E-3</v>
      </c>
      <c r="O399" s="3"/>
      <c r="P399" s="3"/>
    </row>
    <row r="400" spans="4:16" x14ac:dyDescent="0.25">
      <c r="D400" s="2">
        <v>35278</v>
      </c>
      <c r="E400" s="3">
        <f t="shared" ref="E400:N400" si="145">LN(E166/E147)</f>
        <v>-2.2814677766171399E-2</v>
      </c>
      <c r="F400" s="3">
        <f t="shared" si="145"/>
        <v>-2.0314641351179139E-2</v>
      </c>
      <c r="G400" s="3">
        <f t="shared" si="145"/>
        <v>-1.5504186535965199E-2</v>
      </c>
      <c r="H400" s="3">
        <f t="shared" si="145"/>
        <v>-8.0710688337915486E-3</v>
      </c>
      <c r="I400" s="3">
        <f t="shared" si="145"/>
        <v>-4.7058910374125048E-3</v>
      </c>
      <c r="J400" s="3">
        <f t="shared" si="145"/>
        <v>-3.0487828493587043E-3</v>
      </c>
      <c r="K400" s="3">
        <f t="shared" si="145"/>
        <v>-1.4981276210219922E-3</v>
      </c>
      <c r="L400" s="3">
        <f t="shared" si="145"/>
        <v>-2.9455102297568031E-3</v>
      </c>
      <c r="M400" s="3">
        <f t="shared" si="145"/>
        <v>7.0472455154029223E-3</v>
      </c>
      <c r="N400" s="3">
        <f t="shared" si="145"/>
        <v>-1.4336920018486968E-3</v>
      </c>
      <c r="O400" s="3"/>
      <c r="P400" s="3"/>
    </row>
    <row r="401" spans="4:16" x14ac:dyDescent="0.25">
      <c r="D401" s="2">
        <v>35279</v>
      </c>
      <c r="E401" s="3">
        <f t="shared" ref="E401:N401" si="146">LN(E167/E148)</f>
        <v>-9.5694510161506725E-3</v>
      </c>
      <c r="F401" s="3">
        <f t="shared" si="146"/>
        <v>-9.2851177756795404E-3</v>
      </c>
      <c r="G401" s="3">
        <f t="shared" si="146"/>
        <v>5.2128701885329901E-3</v>
      </c>
      <c r="H401" s="3">
        <f t="shared" si="146"/>
        <v>1.4694141939220784E-2</v>
      </c>
      <c r="I401" s="3">
        <f t="shared" si="146"/>
        <v>1.7446913603720703E-2</v>
      </c>
      <c r="J401" s="3">
        <f t="shared" si="146"/>
        <v>2.3131332023418927E-2</v>
      </c>
      <c r="K401" s="3">
        <f t="shared" si="146"/>
        <v>2.4243611609992853E-2</v>
      </c>
      <c r="L401" s="3">
        <f t="shared" si="146"/>
        <v>2.0834086902841834E-2</v>
      </c>
      <c r="M401" s="3">
        <f t="shared" si="146"/>
        <v>2.7009459907491363E-2</v>
      </c>
      <c r="N401" s="3">
        <f t="shared" si="146"/>
        <v>2.1692824611259754E-2</v>
      </c>
      <c r="O401" s="3"/>
      <c r="P401" s="3"/>
    </row>
    <row r="402" spans="4:16" x14ac:dyDescent="0.25">
      <c r="D402" s="2">
        <v>35282</v>
      </c>
      <c r="E402" s="3">
        <f t="shared" ref="E402:N402" si="147">LN(E168/E149)</f>
        <v>5.7416425676751828E-3</v>
      </c>
      <c r="F402" s="3">
        <f t="shared" si="147"/>
        <v>1.6775789504837206E-2</v>
      </c>
      <c r="G402" s="3">
        <f t="shared" si="147"/>
        <v>3.8533664002242986E-2</v>
      </c>
      <c r="H402" s="3">
        <f t="shared" si="147"/>
        <v>5.273050138135503E-2</v>
      </c>
      <c r="I402" s="3">
        <f t="shared" si="147"/>
        <v>5.2770035980064196E-2</v>
      </c>
      <c r="J402" s="3">
        <f t="shared" si="147"/>
        <v>5.4403468751587872E-2</v>
      </c>
      <c r="K402" s="3">
        <f t="shared" si="147"/>
        <v>5.4891827567517225E-2</v>
      </c>
      <c r="L402" s="3">
        <f t="shared" si="147"/>
        <v>5.2367985517316147E-2</v>
      </c>
      <c r="M402" s="3">
        <f t="shared" si="147"/>
        <v>5.1366498150256734E-2</v>
      </c>
      <c r="N402" s="3">
        <f t="shared" si="147"/>
        <v>4.4967691899961595E-2</v>
      </c>
      <c r="O402" s="3"/>
      <c r="P402" s="3"/>
    </row>
    <row r="403" spans="4:16" x14ac:dyDescent="0.25">
      <c r="D403" s="2">
        <v>35283</v>
      </c>
      <c r="E403" s="3">
        <f t="shared" ref="E403:N403" si="148">LN(E169/E150)</f>
        <v>1.7159620282826284E-2</v>
      </c>
      <c r="F403" s="3">
        <f t="shared" si="148"/>
        <v>3.1454952167886206E-2</v>
      </c>
      <c r="G403" s="3">
        <f t="shared" si="148"/>
        <v>5.3879233676903303E-2</v>
      </c>
      <c r="H403" s="3">
        <f t="shared" si="148"/>
        <v>6.6854555439500585E-2</v>
      </c>
      <c r="I403" s="3">
        <f t="shared" si="148"/>
        <v>6.9648394289841764E-2</v>
      </c>
      <c r="J403" s="3">
        <f t="shared" si="148"/>
        <v>6.9205163176529166E-2</v>
      </c>
      <c r="K403" s="3">
        <f t="shared" si="148"/>
        <v>6.9409451372167599E-2</v>
      </c>
      <c r="L403" s="3">
        <f t="shared" si="148"/>
        <v>6.377253105798858E-2</v>
      </c>
      <c r="M403" s="3">
        <f t="shared" si="148"/>
        <v>6.2343130574135555E-2</v>
      </c>
      <c r="N403" s="3">
        <f t="shared" si="148"/>
        <v>5.4768729541766106E-2</v>
      </c>
      <c r="O403" s="3"/>
      <c r="P403" s="3"/>
    </row>
    <row r="404" spans="4:16" x14ac:dyDescent="0.25">
      <c r="D404" s="2">
        <v>35284</v>
      </c>
      <c r="E404" s="3">
        <f t="shared" ref="E404:N404" si="149">LN(E170/E151)</f>
        <v>2.4739606175755751E-2</v>
      </c>
      <c r="F404" s="3">
        <f t="shared" si="149"/>
        <v>4.7715473039666577E-2</v>
      </c>
      <c r="G404" s="3">
        <f t="shared" si="149"/>
        <v>5.7158413839948623E-2</v>
      </c>
      <c r="H404" s="3">
        <f t="shared" si="149"/>
        <v>6.8430599894966276E-2</v>
      </c>
      <c r="I404" s="3">
        <f t="shared" si="149"/>
        <v>6.4742415520987237E-2</v>
      </c>
      <c r="J404" s="3">
        <f t="shared" si="149"/>
        <v>6.4637880271241191E-2</v>
      </c>
      <c r="K404" s="3">
        <f t="shared" si="149"/>
        <v>6.1906555880828842E-2</v>
      </c>
      <c r="L404" s="3">
        <f t="shared" si="149"/>
        <v>5.6478604160470888E-2</v>
      </c>
      <c r="M404" s="3">
        <f t="shared" si="149"/>
        <v>5.1147511166941002E-2</v>
      </c>
      <c r="N404" s="3">
        <f t="shared" si="149"/>
        <v>4.4837589853608834E-2</v>
      </c>
      <c r="O404" s="3"/>
      <c r="P404" s="3"/>
    </row>
    <row r="405" spans="4:16" x14ac:dyDescent="0.25">
      <c r="D405" s="2">
        <v>35285</v>
      </c>
      <c r="E405" s="3">
        <f t="shared" ref="E405:N405" si="150">LN(E171/E152)</f>
        <v>2.6668247082161489E-2</v>
      </c>
      <c r="F405" s="3">
        <f t="shared" si="150"/>
        <v>4.5837538215466392E-2</v>
      </c>
      <c r="G405" s="3">
        <f t="shared" si="150"/>
        <v>6.0415263498910979E-2</v>
      </c>
      <c r="H405" s="3">
        <f t="shared" si="150"/>
        <v>6.6421169952187831E-2</v>
      </c>
      <c r="I405" s="3">
        <f t="shared" si="150"/>
        <v>6.6165860796946613E-2</v>
      </c>
      <c r="J405" s="3">
        <f t="shared" si="150"/>
        <v>6.7510291526728633E-2</v>
      </c>
      <c r="K405" s="3">
        <f t="shared" si="150"/>
        <v>6.3274114024605824E-2</v>
      </c>
      <c r="L405" s="3">
        <f t="shared" si="150"/>
        <v>5.7836724871552614E-2</v>
      </c>
      <c r="M405" s="3">
        <f t="shared" si="150"/>
        <v>5.3837362632325421E-2</v>
      </c>
      <c r="N405" s="3">
        <f t="shared" si="150"/>
        <v>4.6117682094965536E-2</v>
      </c>
      <c r="O405" s="3"/>
      <c r="P405" s="3"/>
    </row>
    <row r="406" spans="4:16" x14ac:dyDescent="0.25">
      <c r="D406" s="2">
        <v>35286</v>
      </c>
      <c r="E406" s="3">
        <f t="shared" ref="E406:N406" si="151">LN(E172/E153)</f>
        <v>3.6228938296458589E-2</v>
      </c>
      <c r="F406" s="3">
        <f t="shared" si="151"/>
        <v>4.7628048989254664E-2</v>
      </c>
      <c r="G406" s="3">
        <f t="shared" si="151"/>
        <v>6.2088904056940675E-2</v>
      </c>
      <c r="H406" s="3">
        <f t="shared" si="151"/>
        <v>6.6421169952187831E-2</v>
      </c>
      <c r="I406" s="3">
        <f t="shared" si="151"/>
        <v>6.6165860796946613E-2</v>
      </c>
      <c r="J406" s="3">
        <f t="shared" si="151"/>
        <v>7.2061819342523606E-2</v>
      </c>
      <c r="K406" s="3">
        <f t="shared" si="151"/>
        <v>6.7644113695724248E-2</v>
      </c>
      <c r="L406" s="3">
        <f t="shared" si="151"/>
        <v>6.2058313818283591E-2</v>
      </c>
      <c r="M406" s="3">
        <f t="shared" si="151"/>
        <v>5.7803263128778169E-2</v>
      </c>
      <c r="N406" s="3">
        <f t="shared" si="151"/>
        <v>5.6089466651043578E-2</v>
      </c>
      <c r="O406" s="3"/>
      <c r="P406" s="3"/>
    </row>
    <row r="407" spans="4:16" x14ac:dyDescent="0.25">
      <c r="D407" s="2">
        <v>35289</v>
      </c>
      <c r="E407" s="3">
        <f t="shared" ref="E407:N407" si="152">LN(E173/E154)</f>
        <v>3.4354523502108422E-2</v>
      </c>
      <c r="F407" s="3">
        <f t="shared" si="152"/>
        <v>4.5921750585639701E-2</v>
      </c>
      <c r="G407" s="3">
        <f t="shared" si="152"/>
        <v>6.0941394956721566E-2</v>
      </c>
      <c r="H407" s="3">
        <f t="shared" si="152"/>
        <v>6.5276023146450868E-2</v>
      </c>
      <c r="I407" s="3">
        <f t="shared" si="152"/>
        <v>6.8226294216755953E-2</v>
      </c>
      <c r="J407" s="3">
        <f t="shared" si="152"/>
        <v>7.2506690786747985E-2</v>
      </c>
      <c r="K407" s="3">
        <f t="shared" si="152"/>
        <v>7.1188262050387044E-2</v>
      </c>
      <c r="L407" s="3">
        <f t="shared" si="152"/>
        <v>6.5499597617121735E-2</v>
      </c>
      <c r="M407" s="3">
        <f t="shared" si="152"/>
        <v>6.2431617962729197E-2</v>
      </c>
      <c r="N407" s="3">
        <f t="shared" si="152"/>
        <v>6.0800199026964111E-2</v>
      </c>
      <c r="O407" s="3"/>
      <c r="P407" s="3"/>
    </row>
    <row r="408" spans="4:16" x14ac:dyDescent="0.25">
      <c r="D408" s="2">
        <v>35290</v>
      </c>
      <c r="E408" s="3">
        <f t="shared" ref="E408:N408" si="153">LN(E174/E155)</f>
        <v>2.101318959881639E-2</v>
      </c>
      <c r="F408" s="3">
        <f t="shared" si="153"/>
        <v>3.7041271680349076E-2</v>
      </c>
      <c r="G408" s="3">
        <f t="shared" si="153"/>
        <v>5.7457055024787214E-2</v>
      </c>
      <c r="H408" s="3">
        <f t="shared" si="153"/>
        <v>6.5382759262851711E-2</v>
      </c>
      <c r="I408" s="3">
        <f t="shared" si="153"/>
        <v>6.21714125347336E-2</v>
      </c>
      <c r="J408" s="3">
        <f t="shared" si="153"/>
        <v>6.6639677546196027E-2</v>
      </c>
      <c r="K408" s="3">
        <f t="shared" si="153"/>
        <v>6.5323142597988937E-2</v>
      </c>
      <c r="L408" s="3">
        <f t="shared" si="153"/>
        <v>6.1258880887215011E-2</v>
      </c>
      <c r="M408" s="3">
        <f t="shared" si="153"/>
        <v>5.8379564315302536E-2</v>
      </c>
      <c r="N408" s="3">
        <f t="shared" si="153"/>
        <v>5.5166381308708046E-2</v>
      </c>
      <c r="O408" s="3"/>
      <c r="P408" s="3"/>
    </row>
    <row r="409" spans="4:16" x14ac:dyDescent="0.25">
      <c r="D409" s="2">
        <v>35291</v>
      </c>
      <c r="E409" s="3">
        <f t="shared" ref="E409:N409" si="154">LN(E175/E156)</f>
        <v>2.2945557349870322E-2</v>
      </c>
      <c r="F409" s="3">
        <f t="shared" si="154"/>
        <v>4.2324624404790061E-2</v>
      </c>
      <c r="G409" s="3">
        <f t="shared" si="154"/>
        <v>5.1914770858035114E-2</v>
      </c>
      <c r="H409" s="3">
        <f t="shared" si="154"/>
        <v>6.0131841044623914E-2</v>
      </c>
      <c r="I409" s="3">
        <f t="shared" si="154"/>
        <v>6.0049633779510517E-2</v>
      </c>
      <c r="J409" s="3">
        <f t="shared" si="154"/>
        <v>5.8388318238154206E-2</v>
      </c>
      <c r="K409" s="3">
        <f t="shared" si="154"/>
        <v>6.0259191518196746E-2</v>
      </c>
      <c r="L409" s="3">
        <f t="shared" si="154"/>
        <v>5.4787942022194037E-2</v>
      </c>
      <c r="M409" s="3">
        <f t="shared" si="154"/>
        <v>5.0715092579016428E-2</v>
      </c>
      <c r="N409" s="3">
        <f t="shared" si="154"/>
        <v>5.033413247390027E-2</v>
      </c>
      <c r="O409" s="3"/>
      <c r="P409" s="3"/>
    </row>
    <row r="410" spans="4:16" x14ac:dyDescent="0.25">
      <c r="D410" s="2">
        <v>35292</v>
      </c>
      <c r="E410" s="3">
        <f t="shared" ref="E410:N410" si="155">LN(E176/E157)</f>
        <v>2.8655255760375933E-2</v>
      </c>
      <c r="F410" s="3">
        <f t="shared" si="155"/>
        <v>3.8786025035156449E-2</v>
      </c>
      <c r="G410" s="3">
        <f t="shared" si="155"/>
        <v>5.7158413839948623E-2</v>
      </c>
      <c r="H410" s="3">
        <f t="shared" si="155"/>
        <v>6.0131841044623914E-2</v>
      </c>
      <c r="I410" s="3">
        <f t="shared" si="155"/>
        <v>5.8514714061426804E-2</v>
      </c>
      <c r="J410" s="3">
        <f t="shared" si="155"/>
        <v>5.6807290240835535E-2</v>
      </c>
      <c r="K410" s="3">
        <f t="shared" si="155"/>
        <v>5.7158413839948623E-2</v>
      </c>
      <c r="L410" s="3">
        <f t="shared" si="155"/>
        <v>5.3267029181487256E-2</v>
      </c>
      <c r="M410" s="3">
        <f t="shared" si="155"/>
        <v>4.9340521915849658E-2</v>
      </c>
      <c r="N410" s="3">
        <f t="shared" si="155"/>
        <v>4.8930623471580129E-2</v>
      </c>
      <c r="O410" s="3"/>
      <c r="P410" s="3"/>
    </row>
    <row r="411" spans="4:16" x14ac:dyDescent="0.25">
      <c r="D411" s="2">
        <v>35293</v>
      </c>
      <c r="E411" s="3">
        <f t="shared" ref="E411:N411" si="156">LN(E177/E158)</f>
        <v>1.7192400540372771E-2</v>
      </c>
      <c r="F411" s="3">
        <f t="shared" si="156"/>
        <v>2.9522439266321834E-2</v>
      </c>
      <c r="G411" s="3">
        <f t="shared" si="156"/>
        <v>4.1528458696582275E-2</v>
      </c>
      <c r="H411" s="3">
        <f t="shared" si="156"/>
        <v>4.401688541677426E-2</v>
      </c>
      <c r="I411" s="3">
        <f t="shared" si="156"/>
        <v>4.2829702198965848E-2</v>
      </c>
      <c r="J411" s="3">
        <f t="shared" si="156"/>
        <v>4.1512493904270455E-2</v>
      </c>
      <c r="K411" s="3">
        <f t="shared" si="156"/>
        <v>4.5188410854606113E-2</v>
      </c>
      <c r="L411" s="3">
        <f t="shared" si="156"/>
        <v>3.8523281996335458E-2</v>
      </c>
      <c r="M411" s="3">
        <f t="shared" si="156"/>
        <v>3.9497376593972483E-2</v>
      </c>
      <c r="N411" s="3">
        <f t="shared" si="156"/>
        <v>3.7414435850257631E-2</v>
      </c>
      <c r="O411" s="3"/>
      <c r="P411" s="3"/>
    </row>
    <row r="412" spans="4:16" x14ac:dyDescent="0.25">
      <c r="D412" s="2">
        <v>35296</v>
      </c>
      <c r="E412" s="3">
        <f t="shared" ref="E412:N412" si="157">LN(E178/E159)</f>
        <v>5.7747994938839578E-3</v>
      </c>
      <c r="F412" s="3">
        <f t="shared" si="157"/>
        <v>1.1215070820140003E-2</v>
      </c>
      <c r="G412" s="3">
        <f t="shared" si="157"/>
        <v>2.2908490796870122E-2</v>
      </c>
      <c r="H412" s="3">
        <f t="shared" si="157"/>
        <v>2.4897551621727087E-2</v>
      </c>
      <c r="I412" s="3">
        <f t="shared" si="157"/>
        <v>2.5766320764229179E-2</v>
      </c>
      <c r="J412" s="3">
        <f t="shared" si="157"/>
        <v>2.6584833811061657E-2</v>
      </c>
      <c r="K412" s="3">
        <f t="shared" si="157"/>
        <v>3.2137425238814424E-2</v>
      </c>
      <c r="L412" s="3">
        <f t="shared" si="157"/>
        <v>2.7069321968218124E-2</v>
      </c>
      <c r="M412" s="3">
        <f t="shared" si="157"/>
        <v>2.8573372444055948E-2</v>
      </c>
      <c r="N412" s="3">
        <f t="shared" si="157"/>
        <v>2.6240572652517221E-2</v>
      </c>
      <c r="O412" s="3"/>
      <c r="P412" s="3"/>
    </row>
    <row r="413" spans="4:16" x14ac:dyDescent="0.25">
      <c r="D413" s="2">
        <v>35297</v>
      </c>
      <c r="E413" s="3">
        <f t="shared" ref="E413:N413" si="158">LN(E179/E160)</f>
        <v>0</v>
      </c>
      <c r="F413" s="3">
        <f t="shared" si="158"/>
        <v>5.5918132657779345E-3</v>
      </c>
      <c r="G413" s="3">
        <f t="shared" si="158"/>
        <v>1.757514482150771E-2</v>
      </c>
      <c r="H413" s="3">
        <f t="shared" si="158"/>
        <v>2.8077814754540461E-2</v>
      </c>
      <c r="I413" s="3">
        <f t="shared" si="158"/>
        <v>2.5683594734695166E-2</v>
      </c>
      <c r="J413" s="3">
        <f t="shared" si="158"/>
        <v>2.3383762266864144E-2</v>
      </c>
      <c r="K413" s="3">
        <f t="shared" si="158"/>
        <v>2.4428695684961865E-2</v>
      </c>
      <c r="L413" s="3">
        <f t="shared" si="158"/>
        <v>2.1021795142220561E-2</v>
      </c>
      <c r="M413" s="3">
        <f t="shared" si="158"/>
        <v>2.1383566025322827E-2</v>
      </c>
      <c r="N413" s="3">
        <f t="shared" si="158"/>
        <v>2.1819047394639888E-2</v>
      </c>
      <c r="O413" s="3"/>
      <c r="P413" s="3"/>
    </row>
    <row r="414" spans="4:16" x14ac:dyDescent="0.25">
      <c r="D414" s="2">
        <v>35298</v>
      </c>
      <c r="E414" s="3">
        <f t="shared" ref="E414:N414" si="159">LN(E180/E161)</f>
        <v>2.4786778982455834E-2</v>
      </c>
      <c r="F414" s="3">
        <f t="shared" si="159"/>
        <v>2.5975486403260521E-2</v>
      </c>
      <c r="G414" s="3">
        <f t="shared" si="159"/>
        <v>3.6685336456801242E-2</v>
      </c>
      <c r="H414" s="3">
        <f t="shared" si="159"/>
        <v>4.1022979346577351E-2</v>
      </c>
      <c r="I414" s="3">
        <f t="shared" si="159"/>
        <v>3.9909526230392359E-2</v>
      </c>
      <c r="J414" s="3">
        <f t="shared" si="159"/>
        <v>3.5635064047384583E-2</v>
      </c>
      <c r="K414" s="3">
        <f t="shared" si="159"/>
        <v>3.6422842470781328E-2</v>
      </c>
      <c r="L414" s="3">
        <f t="shared" si="159"/>
        <v>3.2838771647005112E-2</v>
      </c>
      <c r="M414" s="3">
        <f t="shared" si="159"/>
        <v>2.981058218720313E-2</v>
      </c>
      <c r="N414" s="3">
        <f t="shared" si="159"/>
        <v>2.8987536873252406E-2</v>
      </c>
      <c r="O414" s="3"/>
      <c r="P414" s="3"/>
    </row>
    <row r="415" spans="4:16" x14ac:dyDescent="0.25">
      <c r="D415" s="2">
        <v>35299</v>
      </c>
      <c r="E415" s="3">
        <f t="shared" ref="E415:N415" si="160">LN(E181/E162)</f>
        <v>2.6873018251096486E-2</v>
      </c>
      <c r="F415" s="3">
        <f t="shared" si="160"/>
        <v>3.1571795875813574E-2</v>
      </c>
      <c r="G415" s="3">
        <f t="shared" si="160"/>
        <v>3.8399132934535965E-2</v>
      </c>
      <c r="H415" s="3">
        <f t="shared" si="160"/>
        <v>4.4088772984649006E-2</v>
      </c>
      <c r="I415" s="3">
        <f t="shared" si="160"/>
        <v>4.4522456431101413E-2</v>
      </c>
      <c r="J415" s="3">
        <f t="shared" si="160"/>
        <v>4.0128840958994827E-2</v>
      </c>
      <c r="K415" s="3">
        <f t="shared" si="160"/>
        <v>3.6312612940637791E-2</v>
      </c>
      <c r="L415" s="3">
        <f t="shared" si="160"/>
        <v>3.2741019719103662E-2</v>
      </c>
      <c r="M415" s="3">
        <f t="shared" si="160"/>
        <v>2.6894756200121807E-2</v>
      </c>
      <c r="N415" s="3">
        <f t="shared" si="160"/>
        <v>2.743854445502103E-2</v>
      </c>
      <c r="O415" s="3"/>
      <c r="P415" s="3"/>
    </row>
    <row r="416" spans="4:16" x14ac:dyDescent="0.25">
      <c r="D416" s="2">
        <v>35300</v>
      </c>
      <c r="E416" s="3">
        <f t="shared" ref="E416:N416" si="161">LN(E182/E163)</f>
        <v>2.1174997136458779E-2</v>
      </c>
      <c r="F416" s="3">
        <f t="shared" si="161"/>
        <v>3.5286855089716268E-2</v>
      </c>
      <c r="G416" s="3">
        <f t="shared" si="161"/>
        <v>4.010999733816524E-2</v>
      </c>
      <c r="H416" s="3">
        <f t="shared" si="161"/>
        <v>4.7201601484294163E-2</v>
      </c>
      <c r="I416" s="3">
        <f t="shared" si="161"/>
        <v>4.4311046324911202E-2</v>
      </c>
      <c r="J416" s="3">
        <f t="shared" si="161"/>
        <v>4.1448757311064309E-2</v>
      </c>
      <c r="K416" s="3">
        <f t="shared" si="161"/>
        <v>3.9161630703705659E-2</v>
      </c>
      <c r="L416" s="3">
        <f t="shared" si="161"/>
        <v>3.7068736285341096E-2</v>
      </c>
      <c r="M416" s="3">
        <f t="shared" si="161"/>
        <v>3.107594696052296E-2</v>
      </c>
      <c r="N416" s="3">
        <f t="shared" si="161"/>
        <v>3.0239885189718176E-2</v>
      </c>
      <c r="O416" s="3"/>
      <c r="P416" s="3"/>
    </row>
    <row r="417" spans="4:16" x14ac:dyDescent="0.25">
      <c r="D417" s="2">
        <v>35303</v>
      </c>
      <c r="E417" s="3">
        <f t="shared" ref="E417:N417" si="162">LN(E183/E164)</f>
        <v>2.6821531194563139E-2</v>
      </c>
      <c r="F417" s="3">
        <f t="shared" si="162"/>
        <v>3.3274788884872133E-2</v>
      </c>
      <c r="G417" s="3">
        <f t="shared" si="162"/>
        <v>2.7731413105525377E-2</v>
      </c>
      <c r="H417" s="3">
        <f t="shared" si="162"/>
        <v>2.7532103390201578E-2</v>
      </c>
      <c r="I417" s="3">
        <f t="shared" si="162"/>
        <v>2.5198183604698748E-2</v>
      </c>
      <c r="J417" s="3">
        <f t="shared" si="162"/>
        <v>2.1374859584733393E-2</v>
      </c>
      <c r="K417" s="3">
        <f t="shared" si="162"/>
        <v>2.0958851020843522E-2</v>
      </c>
      <c r="L417" s="3">
        <f t="shared" si="162"/>
        <v>1.9160497739075789E-2</v>
      </c>
      <c r="M417" s="3">
        <f t="shared" si="162"/>
        <v>1.6854331554982182E-2</v>
      </c>
      <c r="N417" s="3">
        <f t="shared" si="162"/>
        <v>1.5748356968139112E-2</v>
      </c>
      <c r="O417" s="3"/>
      <c r="P417" s="3"/>
    </row>
    <row r="418" spans="4:16" x14ac:dyDescent="0.25">
      <c r="D418" s="2">
        <v>35304</v>
      </c>
      <c r="E418" s="3">
        <f t="shared" ref="E418:N418" si="163">LN(E184/E165)</f>
        <v>1.9011979488571785E-2</v>
      </c>
      <c r="F418" s="3">
        <f t="shared" si="163"/>
        <v>2.3920183717651835E-2</v>
      </c>
      <c r="G418" s="3">
        <f t="shared" si="163"/>
        <v>1.3769580723757035E-2</v>
      </c>
      <c r="H418" s="3">
        <f t="shared" si="163"/>
        <v>9.6619109117368901E-3</v>
      </c>
      <c r="I418" s="3">
        <f t="shared" si="163"/>
        <v>4.6985207815543354E-3</v>
      </c>
      <c r="J418" s="3">
        <f t="shared" si="163"/>
        <v>4.5558165358606613E-3</v>
      </c>
      <c r="K418" s="3">
        <f t="shared" si="163"/>
        <v>5.9612695164994456E-3</v>
      </c>
      <c r="L418" s="3">
        <f t="shared" si="163"/>
        <v>4.4020614006376651E-3</v>
      </c>
      <c r="M418" s="3">
        <f t="shared" si="163"/>
        <v>2.7972046210612191E-3</v>
      </c>
      <c r="N418" s="3">
        <f t="shared" si="163"/>
        <v>2.8530689824064807E-3</v>
      </c>
      <c r="O418" s="3"/>
      <c r="P418" s="3"/>
    </row>
    <row r="419" spans="4:16" x14ac:dyDescent="0.25">
      <c r="D419" s="2">
        <v>35305</v>
      </c>
      <c r="E419" s="3">
        <f t="shared" ref="E419:N419" si="164">LN(E185/E166)</f>
        <v>-5.7859370670439994E-3</v>
      </c>
      <c r="F419" s="3">
        <f t="shared" si="164"/>
        <v>1.8639334380627327E-3</v>
      </c>
      <c r="G419" s="3">
        <f t="shared" si="164"/>
        <v>-5.2219439811516007E-3</v>
      </c>
      <c r="H419" s="3">
        <f t="shared" si="164"/>
        <v>-1.6220603718680551E-3</v>
      </c>
      <c r="I419" s="3">
        <f t="shared" si="164"/>
        <v>-6.309169193264721E-3</v>
      </c>
      <c r="J419" s="3">
        <f t="shared" si="164"/>
        <v>-4.5906737085989512E-3</v>
      </c>
      <c r="K419" s="3">
        <f t="shared" si="164"/>
        <v>0</v>
      </c>
      <c r="L419" s="3">
        <f t="shared" si="164"/>
        <v>-1.4760150281206525E-3</v>
      </c>
      <c r="M419" s="3">
        <f t="shared" si="164"/>
        <v>0</v>
      </c>
      <c r="N419" s="3">
        <f t="shared" si="164"/>
        <v>2.865331473286427E-3</v>
      </c>
      <c r="O419" s="3"/>
      <c r="P419" s="3"/>
    </row>
    <row r="420" spans="4:16" x14ac:dyDescent="0.25">
      <c r="D420" s="2">
        <v>35306</v>
      </c>
      <c r="E420" s="3">
        <f t="shared" ref="E420:N420" si="165">LN(E186/E167)</f>
        <v>-2.5317807984289897E-2</v>
      </c>
      <c r="F420" s="3">
        <f t="shared" si="165"/>
        <v>-1.5037877364540559E-2</v>
      </c>
      <c r="G420" s="3">
        <f t="shared" si="165"/>
        <v>-1.2205905679503623E-2</v>
      </c>
      <c r="H420" s="3">
        <f t="shared" si="165"/>
        <v>-1.4694141939220749E-2</v>
      </c>
      <c r="I420" s="3">
        <f t="shared" si="165"/>
        <v>-1.74469136037207E-2</v>
      </c>
      <c r="J420" s="3">
        <f t="shared" si="165"/>
        <v>-1.5361285161487093E-2</v>
      </c>
      <c r="K420" s="3">
        <f t="shared" si="165"/>
        <v>-1.3564639034138473E-2</v>
      </c>
      <c r="L420" s="3">
        <f t="shared" si="165"/>
        <v>-1.1851990587014293E-2</v>
      </c>
      <c r="M420" s="3">
        <f t="shared" si="165"/>
        <v>-1.1283617602027283E-2</v>
      </c>
      <c r="N420" s="3">
        <f t="shared" si="165"/>
        <v>-8.6207430439070882E-3</v>
      </c>
      <c r="O420" s="3"/>
      <c r="P420" s="3"/>
    </row>
    <row r="421" spans="4:16" x14ac:dyDescent="0.25">
      <c r="D421" s="2">
        <v>35307</v>
      </c>
      <c r="E421" s="3">
        <f t="shared" ref="E421:N421" si="166">LN(E187/E168)</f>
        <v>-4.6883585898850499E-2</v>
      </c>
      <c r="F421" s="3">
        <f t="shared" si="166"/>
        <v>-3.002101625485782E-2</v>
      </c>
      <c r="G421" s="3">
        <f t="shared" si="166"/>
        <v>-2.9644716584996886E-2</v>
      </c>
      <c r="H421" s="3">
        <f t="shared" si="166"/>
        <v>-2.9318060756611801E-2</v>
      </c>
      <c r="I421" s="3">
        <f t="shared" si="166"/>
        <v>-3.1648210950781734E-2</v>
      </c>
      <c r="J421" s="3">
        <f t="shared" si="166"/>
        <v>-3.0724382931016321E-2</v>
      </c>
      <c r="K421" s="3">
        <f t="shared" si="166"/>
        <v>-3.012275945510836E-2</v>
      </c>
      <c r="L421" s="3">
        <f t="shared" si="166"/>
        <v>-2.9587957185496071E-2</v>
      </c>
      <c r="M421" s="3">
        <f t="shared" si="166"/>
        <v>-2.6781022677642069E-2</v>
      </c>
      <c r="N421" s="3">
        <f t="shared" si="166"/>
        <v>-2.4408964878925028E-2</v>
      </c>
      <c r="O421" s="3"/>
      <c r="P421" s="3"/>
    </row>
    <row r="422" spans="4:16" x14ac:dyDescent="0.25">
      <c r="D422" s="2">
        <v>35311</v>
      </c>
      <c r="E422" s="3">
        <f t="shared" ref="E422:N422" si="167">LN(E188/E169)</f>
        <v>-4.8412163786930772E-2</v>
      </c>
      <c r="F422" s="3">
        <f t="shared" si="167"/>
        <v>-4.6606757188488446E-2</v>
      </c>
      <c r="G422" s="3">
        <f t="shared" si="167"/>
        <v>-3.9694598684946895E-2</v>
      </c>
      <c r="H422" s="3">
        <f t="shared" si="167"/>
        <v>-4.3520163377727614E-2</v>
      </c>
      <c r="I422" s="3">
        <f t="shared" si="167"/>
        <v>-4.5355701720797198E-2</v>
      </c>
      <c r="J422" s="3">
        <f t="shared" si="167"/>
        <v>-4.5600605407108481E-2</v>
      </c>
      <c r="K422" s="3">
        <f t="shared" si="167"/>
        <v>-4.3193609241274696E-2</v>
      </c>
      <c r="L422" s="3">
        <f t="shared" si="167"/>
        <v>-4.1061486797773925E-2</v>
      </c>
      <c r="M422" s="3">
        <f t="shared" si="167"/>
        <v>-3.4944156386021052E-2</v>
      </c>
      <c r="N422" s="3">
        <f t="shared" si="167"/>
        <v>-3.1341596646625981E-2</v>
      </c>
      <c r="O422" s="3"/>
      <c r="P422" s="3"/>
    </row>
    <row r="423" spans="4:16" x14ac:dyDescent="0.25">
      <c r="D423" s="2">
        <v>35312</v>
      </c>
      <c r="E423" s="3">
        <f t="shared" ref="E423:N423" si="168">LN(E189/E170)</f>
        <v>-3.4420223886479417E-2</v>
      </c>
      <c r="F423" s="3">
        <f t="shared" si="168"/>
        <v>-3.8360867872446212E-2</v>
      </c>
      <c r="G423" s="3">
        <f t="shared" si="168"/>
        <v>-3.9490109706634816E-2</v>
      </c>
      <c r="H423" s="3">
        <f t="shared" si="168"/>
        <v>-4.0166041725334757E-2</v>
      </c>
      <c r="I423" s="3">
        <f t="shared" si="168"/>
        <v>-4.0567184989000048E-2</v>
      </c>
      <c r="J423" s="3">
        <f t="shared" si="168"/>
        <v>-3.7969633189079893E-2</v>
      </c>
      <c r="K423" s="3">
        <f t="shared" si="168"/>
        <v>-3.4255024550318924E-2</v>
      </c>
      <c r="L423" s="3">
        <f t="shared" si="168"/>
        <v>-2.9327615094520063E-2</v>
      </c>
      <c r="M423" s="3">
        <f t="shared" si="168"/>
        <v>-2.3827336080557572E-2</v>
      </c>
      <c r="N423" s="3">
        <f t="shared" si="168"/>
        <v>-2.0000666706669654E-2</v>
      </c>
      <c r="O423" s="3"/>
      <c r="P423" s="3"/>
    </row>
    <row r="424" spans="4:16" x14ac:dyDescent="0.25">
      <c r="D424" s="2">
        <v>35313</v>
      </c>
      <c r="E424" s="3">
        <f t="shared" ref="E424:N424" si="169">LN(E190/E171)</f>
        <v>-4.2232763623273016E-2</v>
      </c>
      <c r="F424" s="3">
        <f t="shared" si="169"/>
        <v>-4.2092215485304507E-2</v>
      </c>
      <c r="G424" s="3">
        <f t="shared" si="169"/>
        <v>-5.5091382246160996E-2</v>
      </c>
      <c r="H424" s="3">
        <f t="shared" si="169"/>
        <v>-5.6421086617604331E-2</v>
      </c>
      <c r="I424" s="3">
        <f t="shared" si="169"/>
        <v>-5.3220696204909532E-2</v>
      </c>
      <c r="J424" s="3">
        <f t="shared" si="169"/>
        <v>-5.3325656534772309E-2</v>
      </c>
      <c r="K424" s="3">
        <f t="shared" si="169"/>
        <v>-4.6311486805026579E-2</v>
      </c>
      <c r="L424" s="3">
        <f t="shared" si="169"/>
        <v>-4.2684919850950319E-2</v>
      </c>
      <c r="M424" s="3">
        <f t="shared" si="169"/>
        <v>-3.6520912620864522E-2</v>
      </c>
      <c r="N424" s="3">
        <f t="shared" si="169"/>
        <v>-3.1476132102017398E-2</v>
      </c>
      <c r="O424" s="3"/>
      <c r="P424" s="3"/>
    </row>
    <row r="425" spans="4:16" x14ac:dyDescent="0.25">
      <c r="D425" s="2">
        <v>35314</v>
      </c>
      <c r="E425" s="3">
        <f t="shared" ref="E425:N425" si="170">LN(E191/E172)</f>
        <v>-5.9805668860455546E-2</v>
      </c>
      <c r="F425" s="3">
        <f t="shared" si="170"/>
        <v>-5.5161041296799794E-2</v>
      </c>
      <c r="G425" s="3">
        <f t="shared" si="170"/>
        <v>-6.3869848427935375E-2</v>
      </c>
      <c r="H425" s="3">
        <f t="shared" si="170"/>
        <v>-6.4747529394158024E-2</v>
      </c>
      <c r="I425" s="3">
        <f t="shared" si="170"/>
        <v>-6.4538521137571053E-2</v>
      </c>
      <c r="J425" s="3">
        <f t="shared" si="170"/>
        <v>-6.2568077150272475E-2</v>
      </c>
      <c r="K425" s="3">
        <f t="shared" si="170"/>
        <v>-5.8356121229253655E-2</v>
      </c>
      <c r="L425" s="3">
        <f t="shared" si="170"/>
        <v>-5.4465262910686194E-2</v>
      </c>
      <c r="M425" s="3">
        <f t="shared" si="170"/>
        <v>-4.9132688577644648E-2</v>
      </c>
      <c r="N425" s="3">
        <f t="shared" si="170"/>
        <v>-4.4324625071457305E-2</v>
      </c>
      <c r="O425" s="3"/>
      <c r="P425" s="3"/>
    </row>
    <row r="426" spans="4:16" x14ac:dyDescent="0.25">
      <c r="D426" s="2">
        <v>35317</v>
      </c>
      <c r="E426" s="3">
        <f t="shared" ref="E426:N426" si="171">LN(E192/E173)</f>
        <v>-5.5945156094475902E-2</v>
      </c>
      <c r="F426" s="3">
        <f t="shared" si="171"/>
        <v>-4.7803218685345344E-2</v>
      </c>
      <c r="G426" s="3">
        <f t="shared" si="171"/>
        <v>-5.3785729361309299E-2</v>
      </c>
      <c r="H426" s="3">
        <f t="shared" si="171"/>
        <v>-5.3540766928029802E-2</v>
      </c>
      <c r="I426" s="3">
        <f t="shared" si="171"/>
        <v>-5.6797598393133072E-2</v>
      </c>
      <c r="J426" s="3">
        <f t="shared" si="171"/>
        <v>-5.6633341630457926E-2</v>
      </c>
      <c r="K426" s="3">
        <f t="shared" si="171"/>
        <v>-5.2525200918460364E-2</v>
      </c>
      <c r="L426" s="3">
        <f t="shared" si="171"/>
        <v>-4.8718120655118276E-2</v>
      </c>
      <c r="M426" s="3">
        <f t="shared" si="171"/>
        <v>-4.501463196872716E-2</v>
      </c>
      <c r="N426" s="3">
        <f t="shared" si="171"/>
        <v>-4.0119993789425289E-2</v>
      </c>
      <c r="O426" s="3"/>
      <c r="P426" s="3"/>
    </row>
    <row r="427" spans="4:16" x14ac:dyDescent="0.25">
      <c r="D427" s="2">
        <v>35318</v>
      </c>
      <c r="E427" s="3">
        <f t="shared" ref="E427:N427" si="172">LN(E193/E174)</f>
        <v>-5.4382330773434649E-2</v>
      </c>
      <c r="F427" s="3">
        <f t="shared" si="172"/>
        <v>-4.8426593905474408E-2</v>
      </c>
      <c r="G427" s="3">
        <f t="shared" si="172"/>
        <v>-7.7367214984117028E-2</v>
      </c>
      <c r="H427" s="3">
        <f t="shared" si="172"/>
        <v>-7.7277546915000994E-2</v>
      </c>
      <c r="I427" s="3">
        <f t="shared" si="172"/>
        <v>-7.5416639284754214E-2</v>
      </c>
      <c r="J427" s="3">
        <f t="shared" si="172"/>
        <v>-7.3070567876486484E-2</v>
      </c>
      <c r="K427" s="3">
        <f t="shared" si="172"/>
        <v>-6.6894234830030111E-2</v>
      </c>
      <c r="L427" s="3">
        <f t="shared" si="172"/>
        <v>-6.2800901239030357E-2</v>
      </c>
      <c r="M427" s="3">
        <f t="shared" si="172"/>
        <v>-5.6914362587974651E-2</v>
      </c>
      <c r="N427" s="3">
        <f t="shared" si="172"/>
        <v>-4.9213982781412667E-2</v>
      </c>
      <c r="O427" s="3"/>
      <c r="P427" s="3"/>
    </row>
    <row r="428" spans="4:16" x14ac:dyDescent="0.25">
      <c r="D428" s="2">
        <v>35319</v>
      </c>
      <c r="E428" s="3">
        <f t="shared" ref="E428:N428" si="173">LN(E194/E175)</f>
        <v>-3.4618841654594938E-2</v>
      </c>
      <c r="F428" s="3">
        <f t="shared" si="173"/>
        <v>-4.7979681888135089E-2</v>
      </c>
      <c r="G428" s="3">
        <f t="shared" si="173"/>
        <v>-6.9836397475390569E-2</v>
      </c>
      <c r="H428" s="3">
        <f t="shared" si="173"/>
        <v>-7.3622770785639224E-2</v>
      </c>
      <c r="I428" s="3">
        <f t="shared" si="173"/>
        <v>-7.3164575857338543E-2</v>
      </c>
      <c r="J428" s="3">
        <f t="shared" si="173"/>
        <v>-6.9526062648610221E-2</v>
      </c>
      <c r="K428" s="3">
        <f t="shared" si="173"/>
        <v>-6.4928460701880436E-2</v>
      </c>
      <c r="L428" s="3">
        <f t="shared" si="173"/>
        <v>-6.0894831230373481E-2</v>
      </c>
      <c r="M428" s="3">
        <f t="shared" si="173"/>
        <v>-5.6512210263342334E-2</v>
      </c>
      <c r="N428" s="3">
        <f t="shared" si="173"/>
        <v>-5.0334132473900339E-2</v>
      </c>
      <c r="O428" s="3"/>
      <c r="P428" s="3"/>
    </row>
    <row r="429" spans="4:16" x14ac:dyDescent="0.25">
      <c r="D429" s="2">
        <v>35320</v>
      </c>
      <c r="E429" s="3">
        <f t="shared" ref="E429:N429" si="174">LN(E195/E176)</f>
        <v>-3.6437396202430979E-2</v>
      </c>
      <c r="F429" s="3">
        <f t="shared" si="174"/>
        <v>-4.2559614418795889E-2</v>
      </c>
      <c r="G429" s="3">
        <f t="shared" si="174"/>
        <v>-7.1521317840310211E-2</v>
      </c>
      <c r="H429" s="3">
        <f t="shared" si="174"/>
        <v>-7.192641753746068E-2</v>
      </c>
      <c r="I429" s="3">
        <f t="shared" si="174"/>
        <v>-7.162965613925483E-2</v>
      </c>
      <c r="J429" s="3">
        <f t="shared" si="174"/>
        <v>-6.7927341284913234E-2</v>
      </c>
      <c r="K429" s="3">
        <f t="shared" si="174"/>
        <v>-6.3369613932589261E-2</v>
      </c>
      <c r="L429" s="3">
        <f t="shared" si="174"/>
        <v>-6.0894831230373481E-2</v>
      </c>
      <c r="M429" s="3">
        <f t="shared" si="174"/>
        <v>-5.368520651986082E-2</v>
      </c>
      <c r="N429" s="3">
        <f t="shared" si="174"/>
        <v>-4.7456783853279672E-2</v>
      </c>
      <c r="O429" s="3"/>
      <c r="P429" s="3"/>
    </row>
    <row r="430" spans="4:16" x14ac:dyDescent="0.25">
      <c r="D430" s="2">
        <v>35321</v>
      </c>
      <c r="E430" s="3">
        <f t="shared" ref="E430:N430" si="175">LN(E196/E177)</f>
        <v>-3.077165866675366E-2</v>
      </c>
      <c r="F430" s="3">
        <f t="shared" si="175"/>
        <v>-3.5156256984577881E-2</v>
      </c>
      <c r="G430" s="3">
        <f t="shared" si="175"/>
        <v>-5.9354242649182855E-2</v>
      </c>
      <c r="H430" s="3">
        <f t="shared" si="175"/>
        <v>-5.0705873567570899E-2</v>
      </c>
      <c r="I430" s="3">
        <f t="shared" si="175"/>
        <v>-5.2601766932758247E-2</v>
      </c>
      <c r="J430" s="3">
        <f t="shared" si="175"/>
        <v>-5.0976286935220758E-2</v>
      </c>
      <c r="K430" s="3">
        <f t="shared" si="175"/>
        <v>-4.982162377609433E-2</v>
      </c>
      <c r="L430" s="3">
        <f t="shared" si="175"/>
        <v>-4.9153602298091716E-2</v>
      </c>
      <c r="M430" s="3">
        <f t="shared" si="175"/>
        <v>-4.2379222968861534E-2</v>
      </c>
      <c r="N430" s="3">
        <f t="shared" si="175"/>
        <v>-3.5949234122929677E-2</v>
      </c>
      <c r="O430" s="3"/>
      <c r="P430" s="3"/>
    </row>
    <row r="431" spans="4:16" x14ac:dyDescent="0.25">
      <c r="D431" s="2">
        <v>35324</v>
      </c>
      <c r="E431" s="3">
        <f t="shared" ref="E431:N431" si="176">LN(E197/E178)</f>
        <v>-1.1583141089630647E-2</v>
      </c>
      <c r="F431" s="3">
        <f t="shared" si="176"/>
        <v>-5.5918132657779415E-3</v>
      </c>
      <c r="G431" s="3">
        <f t="shared" si="176"/>
        <v>-1.4035318116383481E-2</v>
      </c>
      <c r="H431" s="3">
        <f t="shared" si="176"/>
        <v>-1.486402263214928E-2</v>
      </c>
      <c r="I431" s="3">
        <f t="shared" si="176"/>
        <v>-1.926223279505275E-2</v>
      </c>
      <c r="J431" s="3">
        <f t="shared" si="176"/>
        <v>-1.7121040780111424E-2</v>
      </c>
      <c r="K431" s="3">
        <f t="shared" si="176"/>
        <v>-1.9772507267864631E-2</v>
      </c>
      <c r="L431" s="3">
        <f t="shared" si="176"/>
        <v>-1.9476271060620692E-2</v>
      </c>
      <c r="M431" s="3">
        <f t="shared" si="176"/>
        <v>-1.7045867272988496E-2</v>
      </c>
      <c r="N431" s="3">
        <f t="shared" si="176"/>
        <v>-8.6705745511336425E-3</v>
      </c>
      <c r="O431" s="3"/>
      <c r="P431" s="3"/>
    </row>
    <row r="432" spans="4:16" x14ac:dyDescent="0.25">
      <c r="D432" s="2">
        <v>35325</v>
      </c>
      <c r="E432" s="3">
        <f t="shared" ref="E432:N432" si="177">LN(E198/E179)</f>
        <v>-1.3552966404703569E-2</v>
      </c>
      <c r="F432" s="3">
        <f t="shared" si="177"/>
        <v>-1.309653891984568E-2</v>
      </c>
      <c r="G432" s="3">
        <f t="shared" si="177"/>
        <v>-3.0064156392282375E-2</v>
      </c>
      <c r="H432" s="3">
        <f t="shared" si="177"/>
        <v>-3.6488293263136795E-2</v>
      </c>
      <c r="I432" s="3">
        <f t="shared" si="177"/>
        <v>-3.5487594831316145E-2</v>
      </c>
      <c r="J432" s="3">
        <f t="shared" si="177"/>
        <v>-3.1301460003649528E-2</v>
      </c>
      <c r="K432" s="3">
        <f t="shared" si="177"/>
        <v>-2.5975486403260677E-2</v>
      </c>
      <c r="L432" s="3">
        <f t="shared" si="177"/>
        <v>-2.7110094009476015E-2</v>
      </c>
      <c r="M432" s="3">
        <f t="shared" si="177"/>
        <v>-2.2825527342224344E-2</v>
      </c>
      <c r="N432" s="3">
        <f t="shared" si="177"/>
        <v>-1.5953927942241704E-2</v>
      </c>
      <c r="O432" s="3"/>
      <c r="P432" s="3"/>
    </row>
    <row r="433" spans="4:16" x14ac:dyDescent="0.25">
      <c r="D433" s="2">
        <v>35326</v>
      </c>
      <c r="E433" s="3">
        <f t="shared" ref="E433:N433" si="178">LN(E199/E180)</f>
        <v>-2.6719146733509645E-2</v>
      </c>
      <c r="F433" s="3">
        <f t="shared" si="178"/>
        <v>-2.2223136784710235E-2</v>
      </c>
      <c r="G433" s="3">
        <f t="shared" si="178"/>
        <v>-4.3828223969181408E-2</v>
      </c>
      <c r="H433" s="3">
        <f t="shared" si="178"/>
        <v>-4.7745693741453966E-2</v>
      </c>
      <c r="I433" s="3">
        <f t="shared" si="178"/>
        <v>-4.6445497210177857E-2</v>
      </c>
      <c r="J433" s="3">
        <f t="shared" si="178"/>
        <v>-4.1964199099032193E-2</v>
      </c>
      <c r="K433" s="3">
        <f t="shared" si="178"/>
        <v>-3.7969633189079893E-2</v>
      </c>
      <c r="L433" s="3">
        <f t="shared" si="178"/>
        <v>-3.7401517205423278E-2</v>
      </c>
      <c r="M433" s="3">
        <f t="shared" si="178"/>
        <v>-2.9810582187203182E-2</v>
      </c>
      <c r="N433" s="3">
        <f t="shared" si="178"/>
        <v>-2.1661496781179419E-2</v>
      </c>
      <c r="O433" s="3"/>
      <c r="P433" s="3"/>
    </row>
    <row r="434" spans="4:16" x14ac:dyDescent="0.25">
      <c r="D434" s="2">
        <v>35327</v>
      </c>
      <c r="E434" s="3">
        <f t="shared" ref="E434:N434" si="179">LN(E200/E181)</f>
        <v>-2.6873018251096455E-2</v>
      </c>
      <c r="F434" s="3">
        <f t="shared" si="179"/>
        <v>-2.5927378256136554E-2</v>
      </c>
      <c r="G434" s="3">
        <f t="shared" si="179"/>
        <v>-4.5542020446916076E-2</v>
      </c>
      <c r="H434" s="3">
        <f t="shared" si="179"/>
        <v>-5.2471051737453478E-2</v>
      </c>
      <c r="I434" s="3">
        <f t="shared" si="179"/>
        <v>-4.9412441725293195E-2</v>
      </c>
      <c r="J434" s="3">
        <f t="shared" si="179"/>
        <v>-4.6447977310473246E-2</v>
      </c>
      <c r="K434" s="3">
        <f t="shared" si="179"/>
        <v>-4.0945825862126035E-2</v>
      </c>
      <c r="L434" s="3">
        <f t="shared" si="179"/>
        <v>-3.8810841086179493E-2</v>
      </c>
      <c r="M434" s="3">
        <f t="shared" si="179"/>
        <v>-2.8330506626225996E-2</v>
      </c>
      <c r="N434" s="3">
        <f t="shared" si="179"/>
        <v>-2.3055776299925737E-2</v>
      </c>
      <c r="O434" s="3"/>
      <c r="P434" s="3"/>
    </row>
    <row r="435" spans="4:16" x14ac:dyDescent="0.25">
      <c r="D435" s="2">
        <v>35328</v>
      </c>
      <c r="E435" s="3">
        <f t="shared" ref="E435:N435" si="180">LN(E201/E182)</f>
        <v>-2.5073637552115963E-2</v>
      </c>
      <c r="F435" s="3">
        <f t="shared" si="180"/>
        <v>-3.3398280401848147E-2</v>
      </c>
      <c r="G435" s="3">
        <f t="shared" si="180"/>
        <v>-5.8063800954761206E-2</v>
      </c>
      <c r="H435" s="3">
        <f t="shared" si="180"/>
        <v>-6.570507304885384E-2</v>
      </c>
      <c r="I435" s="3">
        <f t="shared" si="180"/>
        <v>-6.3919517713287452E-2</v>
      </c>
      <c r="J435" s="3">
        <f t="shared" si="180"/>
        <v>-6.2035390919452635E-2</v>
      </c>
      <c r="K435" s="3">
        <f t="shared" si="180"/>
        <v>-5.6203096558557389E-2</v>
      </c>
      <c r="L435" s="3">
        <f t="shared" si="180"/>
        <v>-5.3824650013780111E-2</v>
      </c>
      <c r="M435" s="3">
        <f t="shared" si="180"/>
        <v>-4.2620086707388184E-2</v>
      </c>
      <c r="N435" s="3">
        <f t="shared" si="180"/>
        <v>-3.4635496662756338E-2</v>
      </c>
      <c r="O435" s="3"/>
      <c r="P435" s="3"/>
    </row>
    <row r="436" spans="4:16" x14ac:dyDescent="0.25">
      <c r="D436" s="2">
        <v>35331</v>
      </c>
      <c r="E436" s="3">
        <f t="shared" ref="E436:N436" si="181">LN(E202/E183)</f>
        <v>-3.2663806818791573E-2</v>
      </c>
      <c r="F436" s="3">
        <f t="shared" si="181"/>
        <v>-3.5156256984577881E-2</v>
      </c>
      <c r="G436" s="3">
        <f t="shared" si="181"/>
        <v>-5.8063800954761206E-2</v>
      </c>
      <c r="H436" s="3">
        <f t="shared" si="181"/>
        <v>-6.0924187448511871E-2</v>
      </c>
      <c r="I436" s="3">
        <f t="shared" si="181"/>
        <v>-6.0916266206777911E-2</v>
      </c>
      <c r="J436" s="3">
        <f t="shared" si="181"/>
        <v>-5.751390620060675E-2</v>
      </c>
      <c r="K436" s="3">
        <f t="shared" si="181"/>
        <v>-5.4808236494995027E-2</v>
      </c>
      <c r="L436" s="3">
        <f t="shared" si="181"/>
        <v>-5.2446475372542427E-2</v>
      </c>
      <c r="M436" s="3">
        <f t="shared" si="181"/>
        <v>-4.2680731114880445E-2</v>
      </c>
      <c r="N436" s="3">
        <f t="shared" si="181"/>
        <v>-3.6157228599346281E-2</v>
      </c>
      <c r="O436" s="3"/>
      <c r="P436" s="3"/>
    </row>
    <row r="437" spans="4:16" x14ac:dyDescent="0.25">
      <c r="D437" s="2">
        <v>35332</v>
      </c>
      <c r="E437" s="3">
        <f t="shared" ref="E437:N437" si="182">LN(E203/E184)</f>
        <v>-3.2538755786773725E-2</v>
      </c>
      <c r="F437" s="3">
        <f t="shared" si="182"/>
        <v>-2.9522439266321841E-2</v>
      </c>
      <c r="G437" s="3">
        <f t="shared" si="182"/>
        <v>-5.2643733485421909E-2</v>
      </c>
      <c r="H437" s="3">
        <f t="shared" si="182"/>
        <v>-5.4334350963329503E-2</v>
      </c>
      <c r="I437" s="3">
        <f t="shared" si="182"/>
        <v>-5.2939385294219231E-2</v>
      </c>
      <c r="J437" s="3">
        <f t="shared" si="182"/>
        <v>-5.1293294387550578E-2</v>
      </c>
      <c r="K437" s="3">
        <f t="shared" si="182"/>
        <v>-4.8715872724057821E-2</v>
      </c>
      <c r="L437" s="3">
        <f t="shared" si="182"/>
        <v>-4.6450297644137196E-2</v>
      </c>
      <c r="M437" s="3">
        <f t="shared" si="182"/>
        <v>-3.8438895946987163E-2</v>
      </c>
      <c r="N437" s="3">
        <f t="shared" si="182"/>
        <v>-3.0371097876298759E-2</v>
      </c>
      <c r="O437" s="3"/>
      <c r="P437" s="3"/>
    </row>
    <row r="438" spans="4:16" x14ac:dyDescent="0.25">
      <c r="D438" s="2">
        <v>35333</v>
      </c>
      <c r="E438" s="3">
        <f t="shared" ref="E438:N438" si="183">LN(E204/E185)</f>
        <v>-1.9361090268663291E-3</v>
      </c>
      <c r="F438" s="3">
        <f t="shared" si="183"/>
        <v>-3.7313476128582471E-3</v>
      </c>
      <c r="G438" s="3">
        <f t="shared" si="183"/>
        <v>-2.8320476787455612E-2</v>
      </c>
      <c r="H438" s="3">
        <f t="shared" si="183"/>
        <v>-3.4685557987889984E-2</v>
      </c>
      <c r="I438" s="3">
        <f t="shared" si="183"/>
        <v>-3.2157111634531402E-2</v>
      </c>
      <c r="J438" s="3">
        <f t="shared" si="183"/>
        <v>-3.2738699385439836E-2</v>
      </c>
      <c r="K438" s="3">
        <f t="shared" si="183"/>
        <v>-3.3539729119851203E-2</v>
      </c>
      <c r="L438" s="3">
        <f t="shared" si="183"/>
        <v>-3.1510483968185898E-2</v>
      </c>
      <c r="M438" s="3">
        <f t="shared" si="183"/>
        <v>-2.7047912222072572E-2</v>
      </c>
      <c r="N438" s="3">
        <f t="shared" si="183"/>
        <v>-2.0231903971585002E-2</v>
      </c>
      <c r="O438" s="3"/>
      <c r="P438" s="3"/>
    </row>
    <row r="439" spans="4:16" x14ac:dyDescent="0.25">
      <c r="D439" s="2">
        <v>35334</v>
      </c>
      <c r="E439" s="3">
        <f t="shared" ref="E439:N439" si="184">LN(E205/E186)</f>
        <v>1.176484157958621E-2</v>
      </c>
      <c r="F439" s="3">
        <f t="shared" si="184"/>
        <v>1.1299555253933247E-2</v>
      </c>
      <c r="G439" s="3">
        <f t="shared" si="184"/>
        <v>-2.4868066578013538E-2</v>
      </c>
      <c r="H439" s="3">
        <f t="shared" si="184"/>
        <v>-2.3295562603522068E-2</v>
      </c>
      <c r="I439" s="3">
        <f t="shared" si="184"/>
        <v>-2.2654690564806151E-2</v>
      </c>
      <c r="J439" s="3">
        <f t="shared" si="184"/>
        <v>-2.3493641241388738E-2</v>
      </c>
      <c r="K439" s="3">
        <f t="shared" si="184"/>
        <v>-2.1473217706734705E-2</v>
      </c>
      <c r="L439" s="3">
        <f t="shared" si="184"/>
        <v>-2.2608348027592765E-2</v>
      </c>
      <c r="M439" s="3">
        <f t="shared" si="184"/>
        <v>-1.8611847194599115E-2</v>
      </c>
      <c r="N439" s="3">
        <f t="shared" si="184"/>
        <v>-1.3072081567352775E-2</v>
      </c>
      <c r="O439" s="3"/>
      <c r="P439" s="3"/>
    </row>
    <row r="440" spans="4:16" x14ac:dyDescent="0.25">
      <c r="D440" s="2">
        <v>35335</v>
      </c>
      <c r="E440" s="3">
        <f t="shared" ref="E440:N440" si="185">LN(E206/E187)</f>
        <v>2.7615167032973391E-2</v>
      </c>
      <c r="F440" s="3">
        <f t="shared" si="185"/>
        <v>1.6997576368571077E-2</v>
      </c>
      <c r="G440" s="3">
        <f t="shared" si="185"/>
        <v>-1.605743689585875E-2</v>
      </c>
      <c r="H440" s="3">
        <f t="shared" si="185"/>
        <v>-1.834913866819643E-2</v>
      </c>
      <c r="I440" s="3">
        <f t="shared" si="185"/>
        <v>-1.9481135571822541E-2</v>
      </c>
      <c r="J440" s="3">
        <f t="shared" si="185"/>
        <v>-1.8898200220229543E-2</v>
      </c>
      <c r="K440" s="3">
        <f t="shared" si="185"/>
        <v>-1.3857034661426241E-2</v>
      </c>
      <c r="L440" s="3">
        <f t="shared" si="185"/>
        <v>-1.3605652055778598E-2</v>
      </c>
      <c r="M440" s="3">
        <f t="shared" si="185"/>
        <v>-8.6083745366001638E-3</v>
      </c>
      <c r="N440" s="3">
        <f t="shared" si="185"/>
        <v>-4.369999671118379E-3</v>
      </c>
      <c r="O440" s="3"/>
      <c r="P440" s="3"/>
    </row>
    <row r="441" spans="4:16" x14ac:dyDescent="0.25">
      <c r="D441" s="2">
        <v>35338</v>
      </c>
      <c r="E441" s="3">
        <f t="shared" ref="E441:N441" si="186">LN(E207/E188)</f>
        <v>1.9646997383796421E-2</v>
      </c>
      <c r="F441" s="3">
        <f t="shared" si="186"/>
        <v>1.7029739844802268E-2</v>
      </c>
      <c r="G441" s="3">
        <f t="shared" si="186"/>
        <v>-2.3153304974716866E-2</v>
      </c>
      <c r="H441" s="3">
        <f t="shared" si="186"/>
        <v>-2.840625415973309E-2</v>
      </c>
      <c r="I441" s="3">
        <f t="shared" si="186"/>
        <v>-2.922285867690317E-2</v>
      </c>
      <c r="J441" s="3">
        <f t="shared" si="186"/>
        <v>-2.6794353137520894E-2</v>
      </c>
      <c r="K441" s="3">
        <f t="shared" si="186"/>
        <v>-2.3095714794649395E-2</v>
      </c>
      <c r="L441" s="3">
        <f t="shared" si="186"/>
        <v>-2.1180822079447024E-2</v>
      </c>
      <c r="M441" s="3">
        <f t="shared" si="186"/>
        <v>-1.8665294219359859E-2</v>
      </c>
      <c r="N441" s="3">
        <f t="shared" si="186"/>
        <v>-1.3110165924207752E-2</v>
      </c>
      <c r="O441" s="3"/>
      <c r="P441" s="3"/>
    </row>
    <row r="442" spans="4:16" x14ac:dyDescent="0.25">
      <c r="D442" s="2">
        <v>35339</v>
      </c>
      <c r="E442" s="3">
        <f t="shared" ref="E442:N442" si="187">LN(E208/E189)</f>
        <v>9.6806177107237167E-3</v>
      </c>
      <c r="F442" s="3">
        <f t="shared" si="187"/>
        <v>-5.6022555486698981E-3</v>
      </c>
      <c r="G442" s="3">
        <f t="shared" si="187"/>
        <v>-2.6620915405427863E-2</v>
      </c>
      <c r="H442" s="3">
        <f t="shared" si="187"/>
        <v>-2.9952322283351217E-2</v>
      </c>
      <c r="I442" s="3">
        <f t="shared" si="187"/>
        <v>-2.9081209300841852E-2</v>
      </c>
      <c r="J442" s="3">
        <f t="shared" si="187"/>
        <v>-2.6668247082161294E-2</v>
      </c>
      <c r="K442" s="3">
        <f t="shared" si="187"/>
        <v>-2.609511078285184E-2</v>
      </c>
      <c r="L442" s="3">
        <f t="shared" si="187"/>
        <v>-2.409755157906053E-2</v>
      </c>
      <c r="M442" s="3">
        <f t="shared" si="187"/>
        <v>-2.0057979044598672E-2</v>
      </c>
      <c r="N442" s="3">
        <f t="shared" si="187"/>
        <v>-1.4535139619113086E-2</v>
      </c>
      <c r="O442" s="3"/>
      <c r="P442" s="3"/>
    </row>
    <row r="443" spans="4:16" x14ac:dyDescent="0.25">
      <c r="D443" s="2">
        <v>35340</v>
      </c>
      <c r="E443" s="3">
        <f t="shared" ref="E443:N443" si="188">LN(E209/E190)</f>
        <v>7.8125397367936247E-3</v>
      </c>
      <c r="F443" s="3">
        <f t="shared" si="188"/>
        <v>-9.3897403498390316E-3</v>
      </c>
      <c r="G443" s="3">
        <f t="shared" si="188"/>
        <v>-3.4206755401536004E-2</v>
      </c>
      <c r="H443" s="3">
        <f t="shared" si="188"/>
        <v>-4.4074930219086025E-2</v>
      </c>
      <c r="I443" s="3">
        <f t="shared" si="188"/>
        <v>-4.6060773376534393E-2</v>
      </c>
      <c r="J443" s="3">
        <f t="shared" si="188"/>
        <v>-4.3172171865208664E-2</v>
      </c>
      <c r="K443" s="3">
        <f t="shared" si="188"/>
        <v>-4.2160810824278097E-2</v>
      </c>
      <c r="L443" s="3">
        <f t="shared" si="188"/>
        <v>-3.8318864302136657E-2</v>
      </c>
      <c r="M443" s="3">
        <f t="shared" si="188"/>
        <v>-3.1979469321535385E-2</v>
      </c>
      <c r="N443" s="3">
        <f t="shared" si="188"/>
        <v>-2.6511125548331852E-2</v>
      </c>
      <c r="O443" s="3"/>
      <c r="P443" s="3"/>
    </row>
    <row r="444" spans="4:16" x14ac:dyDescent="0.25">
      <c r="D444" s="2">
        <v>35341</v>
      </c>
      <c r="E444" s="3">
        <f t="shared" ref="E444:N444" si="189">LN(E210/E191)</f>
        <v>2.163309535542585E-2</v>
      </c>
      <c r="F444" s="3">
        <f t="shared" si="189"/>
        <v>1.8885746878681546E-3</v>
      </c>
      <c r="G444" s="3">
        <f t="shared" si="189"/>
        <v>-2.7101929777791384E-2</v>
      </c>
      <c r="H444" s="3">
        <f t="shared" si="189"/>
        <v>-3.2288276377636586E-2</v>
      </c>
      <c r="I444" s="3">
        <f t="shared" si="189"/>
        <v>-3.3060862260888176E-2</v>
      </c>
      <c r="J444" s="3">
        <f t="shared" si="189"/>
        <v>-3.6892716380365523E-2</v>
      </c>
      <c r="K444" s="3">
        <f t="shared" si="189"/>
        <v>-3.4486176071169439E-2</v>
      </c>
      <c r="L444" s="3">
        <f t="shared" si="189"/>
        <v>-3.2285663497968721E-2</v>
      </c>
      <c r="M444" s="3">
        <f t="shared" si="189"/>
        <v>-2.624057265251727E-2</v>
      </c>
      <c r="N444" s="3">
        <f t="shared" si="189"/>
        <v>-2.2173857494321967E-2</v>
      </c>
      <c r="O444" s="3"/>
      <c r="P444" s="3"/>
    </row>
    <row r="445" spans="4:16" x14ac:dyDescent="0.25">
      <c r="D445" s="2">
        <v>35342</v>
      </c>
      <c r="E445" s="3">
        <f t="shared" ref="E445:N445" si="190">LN(E211/E192)</f>
        <v>2.5466606437060425E-2</v>
      </c>
      <c r="F445" s="3">
        <f t="shared" si="190"/>
        <v>-1.8850146957712238E-3</v>
      </c>
      <c r="G445" s="3">
        <f t="shared" si="190"/>
        <v>-3.077165866675366E-2</v>
      </c>
      <c r="H445" s="3">
        <f t="shared" si="190"/>
        <v>-3.908738870804692E-2</v>
      </c>
      <c r="I445" s="3">
        <f t="shared" si="190"/>
        <v>-3.9740328649514108E-2</v>
      </c>
      <c r="J445" s="3">
        <f t="shared" si="190"/>
        <v>-4.0166041725334757E-2</v>
      </c>
      <c r="K445" s="3">
        <f t="shared" si="190"/>
        <v>-3.9282348334662348E-2</v>
      </c>
      <c r="L445" s="3">
        <f t="shared" si="190"/>
        <v>-3.6984184279522964E-2</v>
      </c>
      <c r="M445" s="3">
        <f t="shared" si="190"/>
        <v>-3.068173465248504E-2</v>
      </c>
      <c r="N445" s="3">
        <f t="shared" si="190"/>
        <v>-2.6668247082161294E-2</v>
      </c>
      <c r="O445" s="3"/>
      <c r="P445" s="3"/>
    </row>
    <row r="446" spans="4:16" x14ac:dyDescent="0.25">
      <c r="D446" s="2">
        <v>35345</v>
      </c>
      <c r="E446" s="3">
        <f t="shared" ref="E446:N446" si="191">LN(E212/E193)</f>
        <v>3.1436773423564289E-2</v>
      </c>
      <c r="F446" s="3">
        <f t="shared" si="191"/>
        <v>1.138532222512521E-2</v>
      </c>
      <c r="G446" s="3">
        <f t="shared" si="191"/>
        <v>-1.829826677076116E-3</v>
      </c>
      <c r="H446" s="3">
        <f t="shared" si="191"/>
        <v>-1.0309369658861213E-2</v>
      </c>
      <c r="I446" s="3">
        <f t="shared" si="191"/>
        <v>-1.1735256218420965E-2</v>
      </c>
      <c r="J446" s="3">
        <f t="shared" si="191"/>
        <v>-1.4622518867541926E-2</v>
      </c>
      <c r="K446" s="3">
        <f t="shared" si="191"/>
        <v>-1.5848192240023727E-2</v>
      </c>
      <c r="L446" s="3">
        <f t="shared" si="191"/>
        <v>-1.5552413007484884E-2</v>
      </c>
      <c r="M446" s="3">
        <f t="shared" si="191"/>
        <v>-1.178216869826024E-2</v>
      </c>
      <c r="N446" s="3">
        <f t="shared" si="191"/>
        <v>-8.9419373756613931E-3</v>
      </c>
      <c r="O446" s="3"/>
      <c r="P446" s="3"/>
    </row>
    <row r="447" spans="4:16" x14ac:dyDescent="0.25">
      <c r="D447" s="2">
        <v>35346</v>
      </c>
      <c r="E447" s="3">
        <f t="shared" ref="E447:N447" si="192">LN(E213/E194)</f>
        <v>1.5534292962184204E-2</v>
      </c>
      <c r="F447" s="3">
        <f t="shared" si="192"/>
        <v>1.8885746878681546E-3</v>
      </c>
      <c r="G447" s="3">
        <f t="shared" si="192"/>
        <v>-1.2739025777429826E-2</v>
      </c>
      <c r="H447" s="3">
        <f t="shared" si="192"/>
        <v>-1.8852314979209188E-2</v>
      </c>
      <c r="I447" s="3">
        <f t="shared" si="192"/>
        <v>-2.3373351185308713E-2</v>
      </c>
      <c r="J447" s="3">
        <f t="shared" si="192"/>
        <v>-2.4292692569044587E-2</v>
      </c>
      <c r="K447" s="3">
        <f t="shared" si="192"/>
        <v>-2.8482938133216826E-2</v>
      </c>
      <c r="L447" s="3">
        <f t="shared" si="192"/>
        <v>-2.6378565936308936E-2</v>
      </c>
      <c r="M447" s="3">
        <f t="shared" si="192"/>
        <v>-2.055872702103655E-2</v>
      </c>
      <c r="N447" s="3">
        <f t="shared" si="192"/>
        <v>-1.6357242024771915E-2</v>
      </c>
      <c r="O447" s="3"/>
      <c r="P447" s="3"/>
    </row>
    <row r="448" spans="4:16" x14ac:dyDescent="0.25">
      <c r="D448" s="2">
        <v>35347</v>
      </c>
      <c r="E448" s="3">
        <f t="shared" ref="E448:N448" si="193">LN(E214/E195)</f>
        <v>9.7182494689213462E-3</v>
      </c>
      <c r="F448" s="3">
        <f t="shared" si="193"/>
        <v>-3.7878833169370917E-3</v>
      </c>
      <c r="G448" s="3">
        <f t="shared" si="193"/>
        <v>-1.8248681588399443E-2</v>
      </c>
      <c r="H448" s="3">
        <f t="shared" si="193"/>
        <v>-2.7493140580198732E-2</v>
      </c>
      <c r="I448" s="3">
        <f t="shared" si="193"/>
        <v>-3.3560196492301672E-2</v>
      </c>
      <c r="J448" s="3">
        <f t="shared" si="193"/>
        <v>-3.7433174372913061E-2</v>
      </c>
      <c r="K448" s="3">
        <f t="shared" si="193"/>
        <v>-4.1341340156441399E-2</v>
      </c>
      <c r="L448" s="3">
        <f t="shared" si="193"/>
        <v>-3.9036962808232351E-2</v>
      </c>
      <c r="M448" s="3">
        <f t="shared" si="193"/>
        <v>-3.3951600473269415E-2</v>
      </c>
      <c r="N448" s="3">
        <f t="shared" si="193"/>
        <v>-2.8381292538224911E-2</v>
      </c>
      <c r="O448" s="3"/>
      <c r="P448" s="3"/>
    </row>
    <row r="449" spans="4:16" x14ac:dyDescent="0.25">
      <c r="D449" s="2">
        <v>35348</v>
      </c>
      <c r="E449" s="3">
        <f t="shared" ref="E449:N449" si="194">LN(E215/E196)</f>
        <v>9.7182494689213462E-3</v>
      </c>
      <c r="F449" s="3">
        <f t="shared" si="194"/>
        <v>-5.6657375356771959E-3</v>
      </c>
      <c r="G449" s="3">
        <f t="shared" si="194"/>
        <v>-2.181904739463961E-2</v>
      </c>
      <c r="H449" s="3">
        <f t="shared" si="194"/>
        <v>-3.4133006369458582E-2</v>
      </c>
      <c r="I449" s="3">
        <f t="shared" si="194"/>
        <v>-3.4974422271830188E-2</v>
      </c>
      <c r="J449" s="3">
        <f t="shared" si="194"/>
        <v>-4.2077404510371633E-2</v>
      </c>
      <c r="K449" s="3">
        <f t="shared" si="194"/>
        <v>-4.4311046324911139E-2</v>
      </c>
      <c r="L449" s="3">
        <f t="shared" si="194"/>
        <v>-3.8915416249673498E-2</v>
      </c>
      <c r="M449" s="3">
        <f t="shared" si="194"/>
        <v>-3.8239953274279502E-2</v>
      </c>
      <c r="N449" s="3">
        <f t="shared" si="194"/>
        <v>-3.2741019719103724E-2</v>
      </c>
      <c r="O449" s="3"/>
      <c r="P449" s="3"/>
    </row>
    <row r="450" spans="4:16" x14ac:dyDescent="0.25">
      <c r="D450" s="2">
        <v>35349</v>
      </c>
      <c r="E450" s="3">
        <f t="shared" ref="E450:N450" si="195">LN(E216/E197)</f>
        <v>1.9398648178264545E-3</v>
      </c>
      <c r="F450" s="3">
        <f t="shared" si="195"/>
        <v>-1.3170463189745008E-2</v>
      </c>
      <c r="G450" s="3">
        <f t="shared" si="195"/>
        <v>-3.9644831347240249E-2</v>
      </c>
      <c r="H450" s="3">
        <f t="shared" si="195"/>
        <v>-4.4224893737857096E-2</v>
      </c>
      <c r="I450" s="3">
        <f t="shared" si="195"/>
        <v>-4.9844204077291364E-2</v>
      </c>
      <c r="J450" s="3">
        <f t="shared" si="195"/>
        <v>-5.8174721036955805E-2</v>
      </c>
      <c r="K450" s="3">
        <f t="shared" si="195"/>
        <v>-6.1777359696243123E-2</v>
      </c>
      <c r="L450" s="3">
        <f t="shared" si="195"/>
        <v>-5.4403468751587837E-2</v>
      </c>
      <c r="M450" s="3">
        <f t="shared" si="195"/>
        <v>-5.4465262910686194E-2</v>
      </c>
      <c r="N450" s="3">
        <f t="shared" si="195"/>
        <v>-6.1350574661383793E-2</v>
      </c>
      <c r="O450" s="3"/>
      <c r="P450" s="3"/>
    </row>
    <row r="451" spans="4:16" x14ac:dyDescent="0.25">
      <c r="D451" s="2">
        <v>35353</v>
      </c>
      <c r="E451" s="3">
        <f t="shared" ref="E451:N451" si="196">LN(E217/E198)</f>
        <v>9.6993970887135784E-3</v>
      </c>
      <c r="F451" s="3">
        <f t="shared" si="196"/>
        <v>-3.7735893836393797E-3</v>
      </c>
      <c r="G451" s="3">
        <f t="shared" si="196"/>
        <v>-2.1779445264039982E-2</v>
      </c>
      <c r="H451" s="3">
        <f t="shared" si="196"/>
        <v>-2.7398974188114503E-2</v>
      </c>
      <c r="I451" s="3">
        <f t="shared" si="196"/>
        <v>-3.5091319811270061E-2</v>
      </c>
      <c r="J451" s="3">
        <f t="shared" si="196"/>
        <v>-4.0557058765625549E-2</v>
      </c>
      <c r="K451" s="3">
        <f t="shared" si="196"/>
        <v>-4.7552540249082051E-2</v>
      </c>
      <c r="L451" s="3">
        <f t="shared" si="196"/>
        <v>-4.0503978934811419E-2</v>
      </c>
      <c r="M451" s="3">
        <f t="shared" si="196"/>
        <v>-4.4255009004040703E-2</v>
      </c>
      <c r="N451" s="3">
        <f t="shared" si="196"/>
        <v>-4.9448275413981259E-2</v>
      </c>
      <c r="O451" s="3"/>
      <c r="P451" s="3"/>
    </row>
    <row r="452" spans="4:16" x14ac:dyDescent="0.25">
      <c r="D452" s="2">
        <v>35354</v>
      </c>
      <c r="E452" s="3">
        <f t="shared" ref="E452:N452" si="197">LN(E218/E199)</f>
        <v>1.9323677510538603E-3</v>
      </c>
      <c r="F452" s="3">
        <f t="shared" si="197"/>
        <v>-9.4074071018953685E-3</v>
      </c>
      <c r="G452" s="3">
        <f t="shared" si="197"/>
        <v>-2.7249642447375589E-2</v>
      </c>
      <c r="H452" s="3">
        <f t="shared" si="197"/>
        <v>-3.4308682282985739E-2</v>
      </c>
      <c r="I452" s="3">
        <f t="shared" si="197"/>
        <v>-4.3557974339129786E-2</v>
      </c>
      <c r="J452" s="3">
        <f t="shared" si="197"/>
        <v>-5.212906543494656E-2</v>
      </c>
      <c r="K452" s="3">
        <f t="shared" si="197"/>
        <v>-5.8981236072704821E-2</v>
      </c>
      <c r="L452" s="3">
        <f t="shared" si="197"/>
        <v>-5.8055516259492818E-2</v>
      </c>
      <c r="M452" s="3">
        <f t="shared" si="197"/>
        <v>-5.6311171562715534E-2</v>
      </c>
      <c r="N452" s="3">
        <f t="shared" si="197"/>
        <v>-6.1720112157871529E-2</v>
      </c>
      <c r="O452" s="3"/>
      <c r="P452" s="3"/>
    </row>
    <row r="453" spans="4:16" x14ac:dyDescent="0.25">
      <c r="D453" s="2">
        <v>35355</v>
      </c>
      <c r="E453" s="3">
        <f t="shared" ref="E453:N453" si="198">LN(E219/E200)</f>
        <v>5.8196090532640025E-3</v>
      </c>
      <c r="F453" s="3">
        <f t="shared" si="198"/>
        <v>-9.4251404595829969E-3</v>
      </c>
      <c r="G453" s="3">
        <f t="shared" si="198"/>
        <v>-2.9092960941664778E-2</v>
      </c>
      <c r="H453" s="3">
        <f t="shared" si="198"/>
        <v>-3.9490109706634816E-2</v>
      </c>
      <c r="I453" s="3">
        <f t="shared" si="198"/>
        <v>-4.683129968409909E-2</v>
      </c>
      <c r="J453" s="3">
        <f t="shared" si="198"/>
        <v>-5.2044264425763695E-2</v>
      </c>
      <c r="K453" s="3">
        <f t="shared" si="198"/>
        <v>-5.7340546615245014E-2</v>
      </c>
      <c r="L453" s="3">
        <f t="shared" si="198"/>
        <v>-5.7964540445473327E-2</v>
      </c>
      <c r="M453" s="3">
        <f t="shared" si="198"/>
        <v>-5.6144729009102466E-2</v>
      </c>
      <c r="N453" s="3">
        <f t="shared" si="198"/>
        <v>-6.0078123943283462E-2</v>
      </c>
      <c r="O453" s="3"/>
      <c r="P453" s="3"/>
    </row>
    <row r="454" spans="4:16" x14ac:dyDescent="0.25">
      <c r="D454" s="2">
        <v>35356</v>
      </c>
      <c r="E454" s="3">
        <f t="shared" ref="E454:N454" si="199">LN(E220/E201)</f>
        <v>9.7182494689213462E-3</v>
      </c>
      <c r="F454" s="3">
        <f t="shared" si="199"/>
        <v>-5.6764580048051906E-3</v>
      </c>
      <c r="G454" s="3">
        <f t="shared" si="199"/>
        <v>-2.1978906718775115E-2</v>
      </c>
      <c r="H454" s="3">
        <f t="shared" si="199"/>
        <v>-3.9832105448403696E-2</v>
      </c>
      <c r="I454" s="3">
        <f t="shared" si="199"/>
        <v>-4.903771956121486E-2</v>
      </c>
      <c r="J454" s="3">
        <f t="shared" si="199"/>
        <v>-5.2557250738676071E-2</v>
      </c>
      <c r="K454" s="3">
        <f t="shared" si="199"/>
        <v>-5.6239718322876192E-2</v>
      </c>
      <c r="L454" s="3">
        <f t="shared" si="199"/>
        <v>-5.6887374402051237E-2</v>
      </c>
      <c r="M454" s="3">
        <f t="shared" si="199"/>
        <v>-5.3664141737227368E-2</v>
      </c>
      <c r="N454" s="3">
        <f t="shared" si="199"/>
        <v>-5.8974002459551193E-2</v>
      </c>
      <c r="O454" s="3"/>
      <c r="P454" s="3"/>
    </row>
    <row r="455" spans="4:16" x14ac:dyDescent="0.25">
      <c r="D455" s="2">
        <v>35359</v>
      </c>
      <c r="E455" s="3">
        <f t="shared" ref="E455:N455" si="200">LN(E221/E202)</f>
        <v>7.782140442054949E-3</v>
      </c>
      <c r="F455" s="3">
        <f t="shared" si="200"/>
        <v>-9.46080850422896E-3</v>
      </c>
      <c r="G455" s="3">
        <f t="shared" si="200"/>
        <v>-2.1978906718775115E-2</v>
      </c>
      <c r="H455" s="3">
        <f t="shared" si="200"/>
        <v>-3.6304764930435357E-2</v>
      </c>
      <c r="I455" s="3">
        <f t="shared" si="200"/>
        <v>-4.3925980457846139E-2</v>
      </c>
      <c r="J455" s="3">
        <f t="shared" si="200"/>
        <v>-4.7510982671051735E-2</v>
      </c>
      <c r="K455" s="3">
        <f t="shared" si="200"/>
        <v>-4.8086186667637795E-2</v>
      </c>
      <c r="L455" s="3">
        <f t="shared" si="200"/>
        <v>-4.8867090205086582E-2</v>
      </c>
      <c r="M455" s="3">
        <f t="shared" si="200"/>
        <v>-4.9153602298091716E-2</v>
      </c>
      <c r="N455" s="3">
        <f t="shared" si="200"/>
        <v>-4.982162377609433E-2</v>
      </c>
      <c r="O455" s="3"/>
      <c r="P455" s="3"/>
    </row>
    <row r="456" spans="4:16" x14ac:dyDescent="0.25">
      <c r="D456" s="2">
        <v>35360</v>
      </c>
      <c r="E456" s="3">
        <f t="shared" ref="E456:N456" si="201">LN(E222/E203)</f>
        <v>7.7519768043179237E-3</v>
      </c>
      <c r="F456" s="3">
        <f t="shared" si="201"/>
        <v>-1.3195290418832545E-2</v>
      </c>
      <c r="G456" s="3">
        <f t="shared" si="201"/>
        <v>-2.5548834899952952E-2</v>
      </c>
      <c r="H456" s="3">
        <f t="shared" si="201"/>
        <v>-3.6179656577502356E-2</v>
      </c>
      <c r="I456" s="3">
        <f t="shared" si="201"/>
        <v>-4.3778034207587198E-2</v>
      </c>
      <c r="J456" s="3">
        <f t="shared" si="201"/>
        <v>-4.902942724031864E-2</v>
      </c>
      <c r="K456" s="3">
        <f t="shared" si="201"/>
        <v>-4.9570499753313145E-2</v>
      </c>
      <c r="L456" s="3">
        <f t="shared" si="201"/>
        <v>-5.0325083887515651E-2</v>
      </c>
      <c r="M456" s="3">
        <f t="shared" si="201"/>
        <v>-4.9080482069569498E-2</v>
      </c>
      <c r="N456" s="3">
        <f t="shared" si="201"/>
        <v>-5.2762802366910472E-2</v>
      </c>
      <c r="O456" s="3"/>
      <c r="P456" s="3"/>
    </row>
    <row r="457" spans="4:16" x14ac:dyDescent="0.25">
      <c r="D457" s="2">
        <v>35361</v>
      </c>
      <c r="E457" s="3">
        <f t="shared" ref="E457:N457" si="202">LN(E223/E204)</f>
        <v>1.9361090268664007E-3</v>
      </c>
      <c r="F457" s="3">
        <f t="shared" si="202"/>
        <v>-1.6965534158296668E-2</v>
      </c>
      <c r="G457" s="3">
        <f t="shared" si="202"/>
        <v>-3.099610036896391E-2</v>
      </c>
      <c r="H457" s="3">
        <f t="shared" si="202"/>
        <v>-4.6439986824478474E-2</v>
      </c>
      <c r="I457" s="3">
        <f t="shared" si="202"/>
        <v>-5.7158413839948637E-2</v>
      </c>
      <c r="J457" s="3">
        <f t="shared" si="202"/>
        <v>-6.0426543178568111E-2</v>
      </c>
      <c r="K457" s="3">
        <f t="shared" si="202"/>
        <v>-6.07215257362742E-2</v>
      </c>
      <c r="L457" s="3">
        <f t="shared" si="202"/>
        <v>-6.1291765038701228E-2</v>
      </c>
      <c r="M457" s="3">
        <f t="shared" si="202"/>
        <v>-5.945286991347206E-2</v>
      </c>
      <c r="N457" s="3">
        <f t="shared" si="202"/>
        <v>-6.1720112157871529E-2</v>
      </c>
      <c r="O457" s="3"/>
      <c r="P457" s="3"/>
    </row>
    <row r="458" spans="4:16" x14ac:dyDescent="0.25">
      <c r="D458" s="2">
        <v>35362</v>
      </c>
      <c r="E458" s="3">
        <f t="shared" ref="E458:N458" si="203">LN(E224/E205)</f>
        <v>7.7670293376595964E-3</v>
      </c>
      <c r="F458" s="3">
        <f t="shared" si="203"/>
        <v>-1.5094626222485016E-2</v>
      </c>
      <c r="G458" s="3">
        <f t="shared" si="203"/>
        <v>-2.9199154692262124E-2</v>
      </c>
      <c r="H458" s="3">
        <f t="shared" si="203"/>
        <v>-5.0053588216204044E-2</v>
      </c>
      <c r="I458" s="3">
        <f t="shared" si="203"/>
        <v>-5.7254692663495907E-2</v>
      </c>
      <c r="J458" s="3">
        <f t="shared" si="203"/>
        <v>-6.3799227657207372E-2</v>
      </c>
      <c r="K458" s="3">
        <f t="shared" si="203"/>
        <v>-6.5676118860957616E-2</v>
      </c>
      <c r="L458" s="3">
        <f t="shared" si="203"/>
        <v>-6.6165860796946516E-2</v>
      </c>
      <c r="M458" s="3">
        <f t="shared" si="203"/>
        <v>-6.2613592727986764E-2</v>
      </c>
      <c r="N458" s="3">
        <f t="shared" si="203"/>
        <v>-6.4928460701880436E-2</v>
      </c>
      <c r="O458" s="3"/>
      <c r="P458" s="3"/>
    </row>
    <row r="459" spans="4:16" x14ac:dyDescent="0.25">
      <c r="D459" s="2">
        <v>35363</v>
      </c>
      <c r="E459" s="3">
        <f t="shared" ref="E459:N459" si="204">LN(E225/E206)</f>
        <v>7.7519768043179237E-3</v>
      </c>
      <c r="F459" s="3">
        <f t="shared" si="204"/>
        <v>-1.5094626222485016E-2</v>
      </c>
      <c r="G459" s="3">
        <f t="shared" si="204"/>
        <v>-2.3658974316646902E-2</v>
      </c>
      <c r="H459" s="3">
        <f t="shared" si="204"/>
        <v>-4.6520015634892928E-2</v>
      </c>
      <c r="I459" s="3">
        <f t="shared" si="204"/>
        <v>-5.3885088494979361E-2</v>
      </c>
      <c r="J459" s="3">
        <f t="shared" si="204"/>
        <v>-5.7251937337795489E-2</v>
      </c>
      <c r="K459" s="3">
        <f t="shared" si="204"/>
        <v>-6.4021858764931022E-2</v>
      </c>
      <c r="L459" s="3">
        <f t="shared" si="204"/>
        <v>-6.606175067809264E-2</v>
      </c>
      <c r="M459" s="3">
        <f t="shared" si="204"/>
        <v>-6.2427398580151616E-2</v>
      </c>
      <c r="N459" s="3">
        <f t="shared" si="204"/>
        <v>-6.4830534572264051E-2</v>
      </c>
      <c r="O459" s="3"/>
      <c r="P459" s="3"/>
    </row>
    <row r="460" spans="4:16" x14ac:dyDescent="0.25">
      <c r="D460" s="2">
        <v>35366</v>
      </c>
      <c r="E460" s="3">
        <f t="shared" ref="E460:N460" si="205">LN(E226/E207)</f>
        <v>7.7519768043179237E-3</v>
      </c>
      <c r="F460" s="3">
        <f t="shared" si="205"/>
        <v>-1.1320875624482311E-2</v>
      </c>
      <c r="G460" s="3">
        <f t="shared" si="205"/>
        <v>-2.0018866890491791E-2</v>
      </c>
      <c r="H460" s="3">
        <f t="shared" si="205"/>
        <v>-3.6242102773434211E-2</v>
      </c>
      <c r="I460" s="3">
        <f t="shared" si="205"/>
        <v>-4.5500687519033377E-2</v>
      </c>
      <c r="J460" s="3">
        <f t="shared" si="205"/>
        <v>-5.2471051737453478E-2</v>
      </c>
      <c r="K460" s="3">
        <f t="shared" si="205"/>
        <v>-5.9359845659119774E-2</v>
      </c>
      <c r="L460" s="3">
        <f t="shared" si="205"/>
        <v>-6.1485083650680804E-2</v>
      </c>
      <c r="M460" s="3">
        <f t="shared" si="205"/>
        <v>-5.3584246134106402E-2</v>
      </c>
      <c r="N460" s="3">
        <f t="shared" si="205"/>
        <v>-5.7330931739108429E-2</v>
      </c>
      <c r="O460" s="3"/>
      <c r="P460" s="3"/>
    </row>
    <row r="461" spans="4:16" x14ac:dyDescent="0.25">
      <c r="D461" s="2">
        <v>35367</v>
      </c>
      <c r="E461" s="3">
        <f t="shared" ref="E461:N461" si="206">LN(E227/E208)</f>
        <v>-1.9286409064057082E-3</v>
      </c>
      <c r="F461" s="3">
        <f t="shared" si="206"/>
        <v>-1.1299555253933282E-2</v>
      </c>
      <c r="G461" s="3">
        <f t="shared" si="206"/>
        <v>-2.3658974316646902E-2</v>
      </c>
      <c r="H461" s="3">
        <f t="shared" si="206"/>
        <v>-4.3147331156253597E-2</v>
      </c>
      <c r="I461" s="3">
        <f t="shared" si="206"/>
        <v>-5.5616690659257367E-2</v>
      </c>
      <c r="J461" s="3">
        <f t="shared" si="206"/>
        <v>-6.0624621816434854E-2</v>
      </c>
      <c r="K461" s="3">
        <f t="shared" si="206"/>
        <v>-6.2570526302804408E-2</v>
      </c>
      <c r="L461" s="3">
        <f t="shared" si="206"/>
        <v>-6.7795853007877646E-2</v>
      </c>
      <c r="M461" s="3">
        <f t="shared" si="206"/>
        <v>-5.6562694491238859E-2</v>
      </c>
      <c r="N461" s="3">
        <f t="shared" si="206"/>
        <v>-6.1906555880828919E-2</v>
      </c>
      <c r="O461" s="3"/>
      <c r="P461" s="3"/>
    </row>
    <row r="462" spans="4:16" x14ac:dyDescent="0.25">
      <c r="D462" s="2">
        <v>35368</v>
      </c>
      <c r="E462" s="3">
        <f t="shared" ref="E462:N462" si="207">LN(E228/E209)</f>
        <v>3.8835000263976122E-3</v>
      </c>
      <c r="F462" s="3">
        <f t="shared" si="207"/>
        <v>-5.6764580048051906E-3</v>
      </c>
      <c r="G462" s="3">
        <f t="shared" si="207"/>
        <v>-9.1996968984234869E-3</v>
      </c>
      <c r="H462" s="3">
        <f t="shared" si="207"/>
        <v>-1.9248188304916578E-2</v>
      </c>
      <c r="I462" s="3">
        <f t="shared" si="207"/>
        <v>-2.9037052854545518E-2</v>
      </c>
      <c r="J462" s="3">
        <f t="shared" si="207"/>
        <v>-3.4916265106227876E-2</v>
      </c>
      <c r="K462" s="3">
        <f t="shared" si="207"/>
        <v>-3.737234269810568E-2</v>
      </c>
      <c r="L462" s="3">
        <f t="shared" si="207"/>
        <v>-4.310324041750619E-2</v>
      </c>
      <c r="M462" s="3">
        <f t="shared" si="207"/>
        <v>-3.7626710985622071E-2</v>
      </c>
      <c r="N462" s="3">
        <f t="shared" si="207"/>
        <v>-4.1132988147392385E-2</v>
      </c>
      <c r="O462" s="3"/>
      <c r="P462" s="3"/>
    </row>
    <row r="463" spans="4:16" x14ac:dyDescent="0.25">
      <c r="D463" s="2">
        <v>35369</v>
      </c>
      <c r="E463" s="3">
        <f t="shared" ref="E463:N463" si="208">LN(E229/E210)</f>
        <v>1.9436352085712523E-3</v>
      </c>
      <c r="F463" s="3">
        <f t="shared" si="208"/>
        <v>-7.5757938084576558E-3</v>
      </c>
      <c r="G463" s="3">
        <f t="shared" si="208"/>
        <v>-9.1996968984234869E-3</v>
      </c>
      <c r="H463" s="3">
        <f t="shared" si="208"/>
        <v>-2.270839936981224E-2</v>
      </c>
      <c r="I463" s="3">
        <f t="shared" si="208"/>
        <v>-3.0719139037530315E-2</v>
      </c>
      <c r="J463" s="3">
        <f t="shared" si="208"/>
        <v>-3.4916265106227876E-2</v>
      </c>
      <c r="K463" s="3">
        <f t="shared" si="208"/>
        <v>-3.5718082602079232E-2</v>
      </c>
      <c r="L463" s="3">
        <f t="shared" si="208"/>
        <v>-4.1473248206575219E-2</v>
      </c>
      <c r="M463" s="3">
        <f t="shared" si="208"/>
        <v>-3.6094143635843852E-2</v>
      </c>
      <c r="N463" s="3">
        <f t="shared" si="208"/>
        <v>-3.8085334023874796E-2</v>
      </c>
      <c r="O463" s="3"/>
      <c r="P463" s="3"/>
    </row>
    <row r="464" spans="4:16" x14ac:dyDescent="0.25">
      <c r="D464" s="2">
        <v>35370</v>
      </c>
      <c r="E464" s="3">
        <f t="shared" ref="E464:N464" si="209">LN(E230/E211)</f>
        <v>-7.7670293376596589E-3</v>
      </c>
      <c r="F464" s="3">
        <f t="shared" si="209"/>
        <v>-9.47874395454377E-3</v>
      </c>
      <c r="G464" s="3">
        <f t="shared" si="209"/>
        <v>-1.1090686694158284E-2</v>
      </c>
      <c r="H464" s="3">
        <f t="shared" si="209"/>
        <v>-3.1692793353000362E-2</v>
      </c>
      <c r="I464" s="3">
        <f t="shared" si="209"/>
        <v>-3.7870274055409853E-2</v>
      </c>
      <c r="J464" s="3">
        <f t="shared" si="209"/>
        <v>-4.3557974339129786E-2</v>
      </c>
      <c r="K464" s="3">
        <f t="shared" si="209"/>
        <v>-4.4233254976825648E-2</v>
      </c>
      <c r="L464" s="3">
        <f t="shared" si="209"/>
        <v>-4.9889669502848996E-2</v>
      </c>
      <c r="M464" s="3">
        <f t="shared" si="209"/>
        <v>-4.3979794116534528E-2</v>
      </c>
      <c r="N464" s="3">
        <f t="shared" si="209"/>
        <v>-4.6091107200266976E-2</v>
      </c>
      <c r="O464" s="3"/>
      <c r="P464" s="3"/>
    </row>
    <row r="465" spans="4:16" x14ac:dyDescent="0.25">
      <c r="D465" s="2">
        <v>35373</v>
      </c>
      <c r="E465" s="3">
        <f t="shared" ref="E465:N465" si="210">LN(E231/E212)</f>
        <v>-1.7561426929947183E-2</v>
      </c>
      <c r="F465" s="3">
        <f t="shared" si="210"/>
        <v>-1.1385322225125241E-2</v>
      </c>
      <c r="G465" s="3">
        <f t="shared" si="210"/>
        <v>-1.1049836186584935E-2</v>
      </c>
      <c r="H465" s="3">
        <f t="shared" si="210"/>
        <v>-3.1581572050298927E-2</v>
      </c>
      <c r="I465" s="3">
        <f t="shared" si="210"/>
        <v>-3.6055407617927603E-2</v>
      </c>
      <c r="J465" s="3">
        <f t="shared" si="210"/>
        <v>-4.3485111939738891E-2</v>
      </c>
      <c r="K465" s="3">
        <f t="shared" si="210"/>
        <v>-4.7433257707496429E-2</v>
      </c>
      <c r="L465" s="3">
        <f t="shared" si="210"/>
        <v>-4.8163401378622898E-2</v>
      </c>
      <c r="M465" s="3">
        <f t="shared" si="210"/>
        <v>-4.3913187089927995E-2</v>
      </c>
      <c r="N465" s="3">
        <f t="shared" si="210"/>
        <v>-4.9089610196523512E-2</v>
      </c>
      <c r="O465" s="3"/>
      <c r="P465" s="3"/>
    </row>
    <row r="466" spans="4:16" x14ac:dyDescent="0.25">
      <c r="D466" s="2">
        <v>35374</v>
      </c>
      <c r="E466" s="3">
        <f t="shared" ref="E466:N466" si="211">LN(E232/E213)</f>
        <v>-2.7345453890528951E-2</v>
      </c>
      <c r="F466" s="3">
        <f t="shared" si="211"/>
        <v>-1.5209418663528795E-2</v>
      </c>
      <c r="G466" s="3">
        <f t="shared" si="211"/>
        <v>-1.2903404835907954E-2</v>
      </c>
      <c r="H466" s="3">
        <f t="shared" si="211"/>
        <v>-2.985296314968116E-2</v>
      </c>
      <c r="I466" s="3">
        <f t="shared" si="211"/>
        <v>-3.7870274055409853E-2</v>
      </c>
      <c r="J466" s="3">
        <f t="shared" si="211"/>
        <v>-4.3557974339129786E-2</v>
      </c>
      <c r="K466" s="3">
        <f t="shared" si="211"/>
        <v>-4.5985113241823382E-2</v>
      </c>
      <c r="L466" s="3">
        <f t="shared" si="211"/>
        <v>-4.8318577270807801E-2</v>
      </c>
      <c r="M466" s="3">
        <f t="shared" si="211"/>
        <v>-4.55313848079534E-2</v>
      </c>
      <c r="N466" s="3">
        <f t="shared" si="211"/>
        <v>-4.9165047022932104E-2</v>
      </c>
      <c r="O466" s="3"/>
      <c r="P466" s="3"/>
    </row>
    <row r="467" spans="4:16" x14ac:dyDescent="0.25">
      <c r="D467" s="2">
        <v>35375</v>
      </c>
      <c r="E467" s="3">
        <f t="shared" ref="E467:N467" si="212">LN(E233/E214)</f>
        <v>-2.7452704408689861E-2</v>
      </c>
      <c r="F467" s="3">
        <f t="shared" si="212"/>
        <v>-1.3371736965889195E-2</v>
      </c>
      <c r="G467" s="3">
        <f t="shared" si="212"/>
        <v>-3.6900410874537957E-3</v>
      </c>
      <c r="H467" s="3">
        <f t="shared" si="212"/>
        <v>-1.7575144821507602E-2</v>
      </c>
      <c r="I467" s="3">
        <f t="shared" si="212"/>
        <v>-1.8949748779662233E-2</v>
      </c>
      <c r="J467" s="3">
        <f t="shared" si="212"/>
        <v>-2.3491013075598855E-2</v>
      </c>
      <c r="K467" s="3">
        <f t="shared" si="212"/>
        <v>-2.4652028998312307E-2</v>
      </c>
      <c r="L467" s="3">
        <f t="shared" si="212"/>
        <v>-2.7443207296603291E-2</v>
      </c>
      <c r="M467" s="3">
        <f t="shared" si="212"/>
        <v>-2.5856953836299178E-2</v>
      </c>
      <c r="N467" s="3">
        <f t="shared" si="212"/>
        <v>-3.0771658666753545E-2</v>
      </c>
      <c r="O467" s="3"/>
      <c r="P467" s="3"/>
    </row>
    <row r="468" spans="4:16" x14ac:dyDescent="0.25">
      <c r="D468" s="2">
        <v>35376</v>
      </c>
      <c r="E468" s="3">
        <f t="shared" ref="E468:N468" si="213">LN(E234/E215)</f>
        <v>-2.5466606437060522E-2</v>
      </c>
      <c r="F468" s="3">
        <f t="shared" si="213"/>
        <v>-1.1428695823622857E-2</v>
      </c>
      <c r="G468" s="3">
        <f t="shared" si="213"/>
        <v>0</v>
      </c>
      <c r="H468" s="3">
        <f t="shared" si="213"/>
        <v>-8.7184510398810467E-3</v>
      </c>
      <c r="I468" s="3">
        <f t="shared" si="213"/>
        <v>-1.365208916832732E-2</v>
      </c>
      <c r="J468" s="3">
        <f t="shared" si="213"/>
        <v>-9.9668599153920363E-3</v>
      </c>
      <c r="K468" s="3">
        <f t="shared" si="213"/>
        <v>-9.7561749453645725E-3</v>
      </c>
      <c r="L468" s="3">
        <f t="shared" si="213"/>
        <v>-1.2779726646398995E-2</v>
      </c>
      <c r="M468" s="3">
        <f t="shared" si="213"/>
        <v>-1.0550210895152486E-2</v>
      </c>
      <c r="N468" s="3">
        <f t="shared" si="213"/>
        <v>-1.6781476962003543E-2</v>
      </c>
      <c r="O468" s="3"/>
      <c r="P468" s="3"/>
    </row>
    <row r="469" spans="4:16" x14ac:dyDescent="0.25">
      <c r="D469" s="2">
        <v>35377</v>
      </c>
      <c r="E469" s="3">
        <f t="shared" ref="E469:N469" si="214">LN(E235/E216)</f>
        <v>-2.5516595381823458E-2</v>
      </c>
      <c r="F469" s="3">
        <f t="shared" si="214"/>
        <v>-9.5148196413385074E-3</v>
      </c>
      <c r="G469" s="3">
        <f t="shared" si="214"/>
        <v>1.8365478073013304E-3</v>
      </c>
      <c r="H469" s="3">
        <f t="shared" si="214"/>
        <v>-3.484324082610811E-3</v>
      </c>
      <c r="I469" s="3">
        <f t="shared" si="214"/>
        <v>-5.1238369998693953E-3</v>
      </c>
      <c r="J469" s="3">
        <f t="shared" si="214"/>
        <v>1.6625107736134572E-3</v>
      </c>
      <c r="K469" s="3">
        <f t="shared" si="214"/>
        <v>6.5146810211936723E-3</v>
      </c>
      <c r="L469" s="3">
        <f t="shared" si="214"/>
        <v>0</v>
      </c>
      <c r="M469" s="3">
        <f t="shared" si="214"/>
        <v>1.5117160853219392E-3</v>
      </c>
      <c r="N469" s="3">
        <f t="shared" si="214"/>
        <v>7.6864329241562914E-3</v>
      </c>
      <c r="O469" s="3"/>
      <c r="P469" s="3"/>
    </row>
    <row r="470" spans="4:16" x14ac:dyDescent="0.25">
      <c r="D470" s="2">
        <v>35381</v>
      </c>
      <c r="E470" s="3">
        <f t="shared" ref="E470:N470" si="215">LN(E236/E217)</f>
        <v>-4.3399315534555484E-2</v>
      </c>
      <c r="F470" s="3">
        <f t="shared" si="215"/>
        <v>-2.1013189598816411E-2</v>
      </c>
      <c r="G470" s="3">
        <f t="shared" si="215"/>
        <v>-3.6764747293087483E-3</v>
      </c>
      <c r="H470" s="3">
        <f t="shared" si="215"/>
        <v>-1.0471299867295366E-2</v>
      </c>
      <c r="I470" s="3">
        <f t="shared" si="215"/>
        <v>-1.1976191046715762E-2</v>
      </c>
      <c r="J470" s="3">
        <f t="shared" si="215"/>
        <v>-1.1657084542212865E-2</v>
      </c>
      <c r="K470" s="3">
        <f t="shared" si="215"/>
        <v>-8.1500043619244147E-3</v>
      </c>
      <c r="L470" s="3">
        <f t="shared" si="215"/>
        <v>-1.2800174766961787E-2</v>
      </c>
      <c r="M470" s="3">
        <f t="shared" si="215"/>
        <v>-7.5700588605452793E-3</v>
      </c>
      <c r="N470" s="3">
        <f t="shared" si="215"/>
        <v>-4.6189458562944166E-3</v>
      </c>
      <c r="O470" s="3"/>
      <c r="P470" s="3"/>
    </row>
    <row r="471" spans="4:16" x14ac:dyDescent="0.25">
      <c r="D471" s="2">
        <v>35382</v>
      </c>
      <c r="E471" s="3">
        <f t="shared" ref="E471:N471" si="216">LN(E237/E218)</f>
        <v>-4.3399315534555484E-2</v>
      </c>
      <c r="F471" s="3">
        <f t="shared" si="216"/>
        <v>-1.9084548692410701E-2</v>
      </c>
      <c r="G471" s="3">
        <f t="shared" si="216"/>
        <v>0</v>
      </c>
      <c r="H471" s="3">
        <f t="shared" si="216"/>
        <v>-3.4965070587294257E-3</v>
      </c>
      <c r="I471" s="3">
        <f t="shared" si="216"/>
        <v>-1.7137964777346304E-3</v>
      </c>
      <c r="J471" s="3">
        <f t="shared" si="216"/>
        <v>1.6708441648175007E-3</v>
      </c>
      <c r="K471" s="3">
        <f t="shared" si="216"/>
        <v>4.9140148024291626E-3</v>
      </c>
      <c r="L471" s="3">
        <f t="shared" si="216"/>
        <v>6.4412461028570747E-3</v>
      </c>
      <c r="M471" s="3">
        <f t="shared" si="216"/>
        <v>4.562745558418237E-3</v>
      </c>
      <c r="N471" s="3">
        <f t="shared" si="216"/>
        <v>7.7339905997362568E-3</v>
      </c>
      <c r="O471" s="3"/>
      <c r="P471" s="3"/>
    </row>
    <row r="472" spans="4:16" x14ac:dyDescent="0.25">
      <c r="D472" s="2">
        <v>35383</v>
      </c>
      <c r="E472" s="3">
        <f t="shared" ref="E472:N472" si="217">LN(E238/E219)</f>
        <v>-4.1466947783501663E-2</v>
      </c>
      <c r="F472" s="3">
        <f t="shared" si="217"/>
        <v>-1.1428695823622857E-2</v>
      </c>
      <c r="G472" s="3">
        <f t="shared" si="217"/>
        <v>1.2832440069884578E-2</v>
      </c>
      <c r="H472" s="3">
        <f t="shared" si="217"/>
        <v>1.908123807542771E-2</v>
      </c>
      <c r="I472" s="3">
        <f t="shared" si="217"/>
        <v>1.8660422717402831E-2</v>
      </c>
      <c r="J472" s="3">
        <f t="shared" si="217"/>
        <v>2.4733330031693018E-2</v>
      </c>
      <c r="K472" s="3">
        <f t="shared" si="217"/>
        <v>2.9081209300841817E-2</v>
      </c>
      <c r="L472" s="3">
        <f t="shared" si="217"/>
        <v>2.861880530565266E-2</v>
      </c>
      <c r="M472" s="3">
        <f t="shared" si="217"/>
        <v>1.956420564636447E-2</v>
      </c>
      <c r="N472" s="3">
        <f t="shared" si="217"/>
        <v>2.295433606908448E-2</v>
      </c>
      <c r="O472" s="3"/>
      <c r="P472" s="3"/>
    </row>
    <row r="473" spans="4:16" x14ac:dyDescent="0.25">
      <c r="D473" s="2">
        <v>35384</v>
      </c>
      <c r="E473" s="3">
        <f t="shared" ref="E473:N473" si="218">LN(E239/E220)</f>
        <v>-3.9452848411800495E-2</v>
      </c>
      <c r="F473" s="3">
        <f t="shared" si="218"/>
        <v>-1.3371736965889195E-2</v>
      </c>
      <c r="G473" s="3">
        <f t="shared" si="218"/>
        <v>1.6529301951210506E-2</v>
      </c>
      <c r="H473" s="3">
        <f t="shared" si="218"/>
        <v>3.1306904625044124E-2</v>
      </c>
      <c r="I473" s="3">
        <f t="shared" si="218"/>
        <v>3.5748487442532305E-2</v>
      </c>
      <c r="J473" s="3">
        <f t="shared" si="218"/>
        <v>3.4800529149417052E-2</v>
      </c>
      <c r="K473" s="3">
        <f t="shared" si="218"/>
        <v>4.0491361354736993E-2</v>
      </c>
      <c r="L473" s="3">
        <f t="shared" si="218"/>
        <v>3.9845908547199563E-2</v>
      </c>
      <c r="M473" s="3">
        <f t="shared" si="218"/>
        <v>3.1652981635876022E-2</v>
      </c>
      <c r="N473" s="3">
        <f t="shared" si="218"/>
        <v>3.3693845786472575E-2</v>
      </c>
      <c r="O473" s="3"/>
      <c r="P473" s="3"/>
    </row>
    <row r="474" spans="4:16" x14ac:dyDescent="0.25">
      <c r="D474" s="2">
        <v>35387</v>
      </c>
      <c r="E474" s="3">
        <f t="shared" ref="E474:N474" si="219">LN(E240/E221)</f>
        <v>-4.7628048989254705E-2</v>
      </c>
      <c r="F474" s="3">
        <f t="shared" si="219"/>
        <v>-1.1472401162236696E-2</v>
      </c>
      <c r="G474" s="3">
        <f t="shared" si="219"/>
        <v>1.1049836186584935E-2</v>
      </c>
      <c r="H474" s="3">
        <f t="shared" si="219"/>
        <v>1.5720847786948246E-2</v>
      </c>
      <c r="I474" s="3">
        <f t="shared" si="219"/>
        <v>1.7123706078591379E-2</v>
      </c>
      <c r="J474" s="3">
        <f t="shared" si="219"/>
        <v>1.6639319003964724E-2</v>
      </c>
      <c r="K474" s="3">
        <f t="shared" si="219"/>
        <v>2.1121825029282504E-2</v>
      </c>
      <c r="L474" s="3">
        <f t="shared" si="219"/>
        <v>2.236514945958009E-2</v>
      </c>
      <c r="M474" s="3">
        <f t="shared" si="219"/>
        <v>1.9652937901393819E-2</v>
      </c>
      <c r="N474" s="3">
        <f t="shared" si="219"/>
        <v>1.8405427542715343E-2</v>
      </c>
      <c r="O474" s="3"/>
      <c r="P474" s="3"/>
    </row>
    <row r="475" spans="4:16" x14ac:dyDescent="0.25">
      <c r="D475" s="2">
        <v>35388</v>
      </c>
      <c r="E475" s="3">
        <f t="shared" ref="E475:N475" si="220">LN(E241/E222)</f>
        <v>-4.1385216162854364E-2</v>
      </c>
      <c r="F475" s="3">
        <f t="shared" si="220"/>
        <v>-9.5329606587235254E-3</v>
      </c>
      <c r="G475" s="3">
        <f t="shared" si="220"/>
        <v>1.4679162663049075E-2</v>
      </c>
      <c r="H475" s="3">
        <f t="shared" si="220"/>
        <v>2.0834086902842053E-2</v>
      </c>
      <c r="I475" s="3">
        <f t="shared" si="220"/>
        <v>2.3810648693718607E-2</v>
      </c>
      <c r="J475" s="3">
        <f t="shared" si="220"/>
        <v>2.6447822543609355E-2</v>
      </c>
      <c r="K475" s="3">
        <f t="shared" si="220"/>
        <v>2.7487583465563858E-2</v>
      </c>
      <c r="L475" s="3">
        <f t="shared" si="220"/>
        <v>3.0184976338397451E-2</v>
      </c>
      <c r="M475" s="3">
        <f t="shared" si="220"/>
        <v>2.4097551579060524E-2</v>
      </c>
      <c r="N475" s="3">
        <f t="shared" si="220"/>
        <v>2.5975486403260736E-2</v>
      </c>
      <c r="O475" s="3"/>
      <c r="P475" s="3"/>
    </row>
    <row r="476" spans="4:16" x14ac:dyDescent="0.25">
      <c r="D476" s="2">
        <v>35389</v>
      </c>
      <c r="E476" s="3">
        <f t="shared" ref="E476:N476" si="221">LN(E242/E223)</f>
        <v>-3.3434776086237343E-2</v>
      </c>
      <c r="F476" s="3">
        <f t="shared" si="221"/>
        <v>1.8993358036523157E-3</v>
      </c>
      <c r="G476" s="3">
        <f t="shared" si="221"/>
        <v>2.0165669594594419E-2</v>
      </c>
      <c r="H476" s="3">
        <f t="shared" si="221"/>
        <v>3.2903401106945215E-2</v>
      </c>
      <c r="I476" s="3">
        <f t="shared" si="221"/>
        <v>3.5687729443071879E-2</v>
      </c>
      <c r="J476" s="3">
        <f t="shared" si="221"/>
        <v>3.7989704542742878E-2</v>
      </c>
      <c r="K476" s="3">
        <f t="shared" si="221"/>
        <v>3.8777071481714886E-2</v>
      </c>
      <c r="L476" s="3">
        <f t="shared" si="221"/>
        <v>3.9719279784573375E-2</v>
      </c>
      <c r="M476" s="3">
        <f t="shared" si="221"/>
        <v>3.461594676653288E-2</v>
      </c>
      <c r="N476" s="3">
        <f t="shared" si="221"/>
        <v>3.3590944436035421E-2</v>
      </c>
      <c r="O476" s="3"/>
      <c r="P476" s="3"/>
    </row>
    <row r="477" spans="4:16" x14ac:dyDescent="0.25">
      <c r="D477" s="2">
        <v>35390</v>
      </c>
      <c r="E477" s="3">
        <f t="shared" ref="E477:N477" si="222">LN(E243/E224)</f>
        <v>-2.7452704408689861E-2</v>
      </c>
      <c r="F477" s="3">
        <f t="shared" si="222"/>
        <v>3.7950709685517555E-3</v>
      </c>
      <c r="G477" s="3">
        <f t="shared" si="222"/>
        <v>2.7398974188114347E-2</v>
      </c>
      <c r="H477" s="3">
        <f t="shared" si="222"/>
        <v>4.1600452505145658E-2</v>
      </c>
      <c r="I477" s="3">
        <f t="shared" si="222"/>
        <v>4.573193142671543E-2</v>
      </c>
      <c r="J477" s="3">
        <f t="shared" si="222"/>
        <v>4.7824447049473001E-2</v>
      </c>
      <c r="K477" s="3">
        <f t="shared" si="222"/>
        <v>5.1624365405307245E-2</v>
      </c>
      <c r="L477" s="3">
        <f t="shared" si="222"/>
        <v>5.0804575635459412E-2</v>
      </c>
      <c r="M477" s="3">
        <f t="shared" si="222"/>
        <v>4.5120435280469641E-2</v>
      </c>
      <c r="N477" s="3">
        <f t="shared" si="222"/>
        <v>4.2754603207558542E-2</v>
      </c>
      <c r="O477" s="3"/>
      <c r="P477" s="3"/>
    </row>
    <row r="478" spans="4:16" x14ac:dyDescent="0.25">
      <c r="D478" s="2">
        <v>35391</v>
      </c>
      <c r="E478" s="3">
        <f t="shared" ref="E478:N478" si="223">LN(E244/E225)</f>
        <v>-3.3369141174618193E-2</v>
      </c>
      <c r="F478" s="3">
        <f t="shared" si="223"/>
        <v>-1.9029501460860756E-3</v>
      </c>
      <c r="G478" s="3">
        <f t="shared" si="223"/>
        <v>1.2808958292581241E-2</v>
      </c>
      <c r="H478" s="3">
        <f t="shared" si="223"/>
        <v>2.7827882622740305E-2</v>
      </c>
      <c r="I478" s="3">
        <f t="shared" si="223"/>
        <v>3.2343244720224568E-2</v>
      </c>
      <c r="J478" s="3">
        <f t="shared" si="223"/>
        <v>3.1485616573566494E-2</v>
      </c>
      <c r="K478" s="3">
        <f t="shared" si="223"/>
        <v>3.2523191705560145E-2</v>
      </c>
      <c r="L478" s="3">
        <f t="shared" si="223"/>
        <v>3.3576295533604306E-2</v>
      </c>
      <c r="M478" s="3">
        <f t="shared" si="223"/>
        <v>2.5739498201575676E-2</v>
      </c>
      <c r="N478" s="3">
        <f t="shared" si="223"/>
        <v>2.7651531330509949E-2</v>
      </c>
      <c r="O478" s="3"/>
      <c r="P478" s="3"/>
    </row>
    <row r="479" spans="4:16" x14ac:dyDescent="0.25">
      <c r="D479" s="2">
        <v>35394</v>
      </c>
      <c r="E479" s="3">
        <f t="shared" ref="E479:N479" si="224">LN(E245/E226)</f>
        <v>-3.1375122567753912E-2</v>
      </c>
      <c r="F479" s="3">
        <f t="shared" si="224"/>
        <v>-1.8993358036524051E-3</v>
      </c>
      <c r="G479" s="3">
        <f t="shared" si="224"/>
        <v>9.149194653587862E-3</v>
      </c>
      <c r="H479" s="3">
        <f t="shared" si="224"/>
        <v>2.4306752224161499E-2</v>
      </c>
      <c r="I479" s="3">
        <f t="shared" si="224"/>
        <v>2.5533302005164845E-2</v>
      </c>
      <c r="J479" s="3">
        <f t="shared" si="224"/>
        <v>2.9852963149681128E-2</v>
      </c>
      <c r="K479" s="3">
        <f t="shared" si="224"/>
        <v>3.2523191705560145E-2</v>
      </c>
      <c r="L479" s="3">
        <f t="shared" si="224"/>
        <v>3.2002731086173734E-2</v>
      </c>
      <c r="M479" s="3">
        <f t="shared" si="224"/>
        <v>2.2676708671029722E-2</v>
      </c>
      <c r="N479" s="3">
        <f t="shared" si="224"/>
        <v>2.3024808398153459E-2</v>
      </c>
      <c r="O479" s="3"/>
      <c r="P479" s="3"/>
    </row>
    <row r="480" spans="4:16" x14ac:dyDescent="0.25">
      <c r="D480" s="2">
        <v>35395</v>
      </c>
      <c r="E480" s="3">
        <f t="shared" ref="E480:N480" si="225">LN(E246/E227)</f>
        <v>-1.5564516541111573E-2</v>
      </c>
      <c r="F480" s="3">
        <f t="shared" si="225"/>
        <v>1.8921481520379623E-3</v>
      </c>
      <c r="G480" s="3">
        <f t="shared" si="225"/>
        <v>1.6438726343159939E-2</v>
      </c>
      <c r="H480" s="3">
        <f t="shared" si="225"/>
        <v>3.1252543504104315E-2</v>
      </c>
      <c r="I480" s="3">
        <f t="shared" si="225"/>
        <v>3.4074846884502456E-2</v>
      </c>
      <c r="J480" s="3">
        <f t="shared" si="225"/>
        <v>3.3225647628320386E-2</v>
      </c>
      <c r="K480" s="3">
        <f t="shared" si="225"/>
        <v>3.2576170434612667E-2</v>
      </c>
      <c r="L480" s="3">
        <f t="shared" si="225"/>
        <v>3.3684018501014552E-2</v>
      </c>
      <c r="M480" s="3">
        <f t="shared" si="225"/>
        <v>2.1212916639192544E-2</v>
      </c>
      <c r="N480" s="3">
        <f t="shared" si="225"/>
        <v>2.461662763535603E-2</v>
      </c>
      <c r="O480" s="3"/>
      <c r="P480" s="3"/>
    </row>
    <row r="481" spans="4:16" x14ac:dyDescent="0.25">
      <c r="D481" s="2">
        <v>35396</v>
      </c>
      <c r="E481" s="3">
        <f t="shared" ref="E481:N481" si="226">LN(E247/E228)</f>
        <v>-1.3658748931040016E-2</v>
      </c>
      <c r="F481" s="3">
        <f t="shared" si="226"/>
        <v>0</v>
      </c>
      <c r="G481" s="3">
        <f t="shared" si="226"/>
        <v>1.8315530306432976E-2</v>
      </c>
      <c r="H481" s="3">
        <f t="shared" si="226"/>
        <v>3.3017769028673573E-2</v>
      </c>
      <c r="I481" s="3">
        <f t="shared" si="226"/>
        <v>3.5748487442532305E-2</v>
      </c>
      <c r="J481" s="3">
        <f t="shared" si="226"/>
        <v>3.6548918530113168E-2</v>
      </c>
      <c r="K481" s="3">
        <f t="shared" si="226"/>
        <v>3.4177451801586455E-2</v>
      </c>
      <c r="L481" s="3">
        <f t="shared" si="226"/>
        <v>3.6833627403910808E-2</v>
      </c>
      <c r="M481" s="3">
        <f t="shared" si="226"/>
        <v>2.4243611609992853E-2</v>
      </c>
      <c r="N481" s="3">
        <f t="shared" si="226"/>
        <v>2.4578810264887771E-2</v>
      </c>
      <c r="O481" s="3"/>
      <c r="P481" s="3"/>
    </row>
    <row r="482" spans="4:16" x14ac:dyDescent="0.25">
      <c r="D482" s="2">
        <v>35398</v>
      </c>
      <c r="E482" s="3">
        <f t="shared" ref="E482:N482" si="227">LN(E248/E229)</f>
        <v>-9.756174945364798E-3</v>
      </c>
      <c r="F482" s="3">
        <f t="shared" si="227"/>
        <v>1.8993358036523157E-3</v>
      </c>
      <c r="G482" s="3">
        <f t="shared" si="227"/>
        <v>1.649899938003507E-2</v>
      </c>
      <c r="H482" s="3">
        <f t="shared" si="227"/>
        <v>3.3017769028673573E-2</v>
      </c>
      <c r="I482" s="3">
        <f t="shared" si="227"/>
        <v>3.5748487442532305E-2</v>
      </c>
      <c r="J482" s="3">
        <f t="shared" si="227"/>
        <v>3.6548918530113168E-2</v>
      </c>
      <c r="K482" s="3">
        <f t="shared" si="227"/>
        <v>3.2523191705560145E-2</v>
      </c>
      <c r="L482" s="3">
        <f t="shared" si="227"/>
        <v>3.3630070745549197E-2</v>
      </c>
      <c r="M482" s="3">
        <f t="shared" si="227"/>
        <v>2.2711044260214669E-2</v>
      </c>
      <c r="N482" s="3">
        <f t="shared" si="227"/>
        <v>2.3024808398153459E-2</v>
      </c>
      <c r="O482" s="3"/>
      <c r="P482" s="3"/>
    </row>
    <row r="483" spans="4:16" x14ac:dyDescent="0.25">
      <c r="D483" s="2">
        <v>35401</v>
      </c>
      <c r="E483" s="3">
        <f t="shared" ref="E483:N483" si="228">LN(E249/E230)</f>
        <v>-3.9062549670649885E-3</v>
      </c>
      <c r="F483" s="3">
        <f t="shared" si="228"/>
        <v>5.6980211146377959E-3</v>
      </c>
      <c r="G483" s="3">
        <f t="shared" si="228"/>
        <v>1.6590242260196789E-2</v>
      </c>
      <c r="H483" s="3">
        <f t="shared" si="228"/>
        <v>3.8601283696812101E-2</v>
      </c>
      <c r="I483" s="3">
        <f t="shared" si="228"/>
        <v>3.9558038169129527E-2</v>
      </c>
      <c r="J483" s="3">
        <f t="shared" si="228"/>
        <v>4.1917284881669861E-2</v>
      </c>
      <c r="K483" s="3">
        <f t="shared" si="228"/>
        <v>3.9413968540876629E-2</v>
      </c>
      <c r="L483" s="3">
        <f t="shared" si="228"/>
        <v>3.8839833316263957E-2</v>
      </c>
      <c r="M483" s="3">
        <f t="shared" si="228"/>
        <v>2.7524673390089936E-2</v>
      </c>
      <c r="N483" s="3">
        <f t="shared" si="228"/>
        <v>2.7908788117076443E-2</v>
      </c>
      <c r="O483" s="3"/>
      <c r="P483" s="3"/>
    </row>
    <row r="484" spans="4:16" x14ac:dyDescent="0.25">
      <c r="D484" s="2">
        <v>35402</v>
      </c>
      <c r="E484" s="3">
        <f t="shared" ref="E484:N484" si="229">LN(E250/E231)</f>
        <v>2.5268594174884983E-2</v>
      </c>
      <c r="F484" s="3">
        <f t="shared" si="229"/>
        <v>9.4967475372572073E-3</v>
      </c>
      <c r="G484" s="3">
        <f t="shared" si="229"/>
        <v>1.2879662863661019E-2</v>
      </c>
      <c r="H484" s="3">
        <f t="shared" si="229"/>
        <v>3.3307198017768547E-2</v>
      </c>
      <c r="I484" s="3">
        <f t="shared" si="229"/>
        <v>3.9422414165831858E-2</v>
      </c>
      <c r="J484" s="3">
        <f t="shared" si="229"/>
        <v>4.1847109935500504E-2</v>
      </c>
      <c r="K484" s="3">
        <f t="shared" si="229"/>
        <v>3.9413968540876629E-2</v>
      </c>
      <c r="L484" s="3">
        <f t="shared" si="229"/>
        <v>3.7130980575046116E-2</v>
      </c>
      <c r="M484" s="3">
        <f t="shared" si="229"/>
        <v>2.5975486403260736E-2</v>
      </c>
      <c r="N484" s="3">
        <f t="shared" si="229"/>
        <v>2.7908788117076443E-2</v>
      </c>
      <c r="O484" s="3"/>
      <c r="P484" s="3"/>
    </row>
    <row r="485" spans="4:16" x14ac:dyDescent="0.25">
      <c r="D485" s="2">
        <v>35403</v>
      </c>
      <c r="E485" s="3">
        <f t="shared" ref="E485:N485" si="230">LN(E251/E232)</f>
        <v>3.1191612478007121E-2</v>
      </c>
      <c r="F485" s="3">
        <f t="shared" si="230"/>
        <v>2.0853836283205779E-2</v>
      </c>
      <c r="G485" s="3">
        <f t="shared" si="230"/>
        <v>2.2019238243917279E-2</v>
      </c>
      <c r="H485" s="3">
        <f t="shared" si="230"/>
        <v>4.7006042375930576E-2</v>
      </c>
      <c r="I485" s="3">
        <f t="shared" si="230"/>
        <v>5.7937837106219081E-2</v>
      </c>
      <c r="J485" s="3">
        <f t="shared" si="230"/>
        <v>6.1430099105251684E-2</v>
      </c>
      <c r="K485" s="3">
        <f t="shared" si="230"/>
        <v>6.3487548891596149E-2</v>
      </c>
      <c r="L485" s="3">
        <f t="shared" si="230"/>
        <v>5.9264738168305055E-2</v>
      </c>
      <c r="M485" s="3">
        <f t="shared" si="230"/>
        <v>4.4046603540374138E-2</v>
      </c>
      <c r="N485" s="3">
        <f t="shared" si="230"/>
        <v>4.6162041763162624E-2</v>
      </c>
      <c r="O485" s="3"/>
      <c r="P485" s="3"/>
    </row>
    <row r="486" spans="4:16" x14ac:dyDescent="0.25">
      <c r="D486" s="2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</row>
    <row r="488" spans="4:16" x14ac:dyDescent="0.25">
      <c r="E488">
        <f t="array" ref="E488:N497">MMULT(E255:N485,TRANSPOSE(E255:N485))</f>
        <v>1.2204681755829415E-2</v>
      </c>
      <c r="F488">
        <v>1.4310559987818878E-2</v>
      </c>
      <c r="G488">
        <v>1.1788836094635756E-2</v>
      </c>
      <c r="H488">
        <v>1.2302613722576834E-2</v>
      </c>
      <c r="I488">
        <v>1.4731667387111735E-2</v>
      </c>
      <c r="J488">
        <v>1.4917047592331725E-2</v>
      </c>
      <c r="K488">
        <v>1.4531031592604484E-2</v>
      </c>
      <c r="L488">
        <v>1.2092548646061248E-2</v>
      </c>
      <c r="M488">
        <v>1.1813908012642604E-2</v>
      </c>
      <c r="N488">
        <v>8.7401141172600734E-3</v>
      </c>
    </row>
    <row r="489" spans="4:16" x14ac:dyDescent="0.25">
      <c r="E489">
        <v>1.4310559987818878E-2</v>
      </c>
      <c r="F489">
        <v>1.687915015890969E-2</v>
      </c>
      <c r="G489">
        <v>1.3897143705658975E-2</v>
      </c>
      <c r="H489">
        <v>1.4512145124101577E-2</v>
      </c>
      <c r="I489">
        <v>1.7306445734859437E-2</v>
      </c>
      <c r="J489">
        <v>1.747800169734675E-2</v>
      </c>
      <c r="K489">
        <v>1.7017461813923839E-2</v>
      </c>
      <c r="L489">
        <v>1.4186519114745581E-2</v>
      </c>
      <c r="M489">
        <v>1.3930901795526297E-2</v>
      </c>
      <c r="N489">
        <v>1.0384174245932508E-2</v>
      </c>
    </row>
    <row r="490" spans="4:16" x14ac:dyDescent="0.25">
      <c r="E490">
        <v>1.1788836094635756E-2</v>
      </c>
      <c r="F490">
        <v>1.3897143705658975E-2</v>
      </c>
      <c r="G490">
        <v>1.1797948934656402E-2</v>
      </c>
      <c r="H490">
        <v>1.1973205946105807E-2</v>
      </c>
      <c r="I490">
        <v>1.3705151683496031E-2</v>
      </c>
      <c r="J490">
        <v>1.3885800787099173E-2</v>
      </c>
      <c r="K490">
        <v>1.3658228590829954E-2</v>
      </c>
      <c r="L490">
        <v>1.1264676178260359E-2</v>
      </c>
      <c r="M490">
        <v>1.14019870869868E-2</v>
      </c>
      <c r="N490">
        <v>8.951570755006041E-3</v>
      </c>
    </row>
    <row r="491" spans="4:16" x14ac:dyDescent="0.25">
      <c r="E491">
        <v>1.2302613722576834E-2</v>
      </c>
      <c r="F491">
        <v>1.4512145124101577E-2</v>
      </c>
      <c r="G491">
        <v>1.1973205946105807E-2</v>
      </c>
      <c r="H491">
        <v>1.2570551843216825E-2</v>
      </c>
      <c r="I491">
        <v>1.4983428378472066E-2</v>
      </c>
      <c r="J491">
        <v>1.5175589097638888E-2</v>
      </c>
      <c r="K491">
        <v>1.4781275762315438E-2</v>
      </c>
      <c r="L491">
        <v>1.2301403735132607E-2</v>
      </c>
      <c r="M491">
        <v>1.210953874460096E-2</v>
      </c>
      <c r="N491">
        <v>9.0606617561590184E-3</v>
      </c>
    </row>
    <row r="492" spans="4:16" x14ac:dyDescent="0.25">
      <c r="E492">
        <v>1.4731667387111735E-2</v>
      </c>
      <c r="F492">
        <v>1.7306445734859437E-2</v>
      </c>
      <c r="G492">
        <v>1.3705151683496031E-2</v>
      </c>
      <c r="H492">
        <v>1.4983428378472066E-2</v>
      </c>
      <c r="I492">
        <v>1.9191591735718536E-2</v>
      </c>
      <c r="J492">
        <v>1.9410068444901129E-2</v>
      </c>
      <c r="K492">
        <v>1.8601914862528511E-2</v>
      </c>
      <c r="L492">
        <v>1.5670392871574037E-2</v>
      </c>
      <c r="M492">
        <v>1.4655875739566693E-2</v>
      </c>
      <c r="N492">
        <v>1.0028321438385668E-2</v>
      </c>
    </row>
    <row r="493" spans="4:16" x14ac:dyDescent="0.25">
      <c r="E493">
        <v>1.4917047592331725E-2</v>
      </c>
      <c r="F493">
        <v>1.747800169734675E-2</v>
      </c>
      <c r="G493">
        <v>1.3885800787099173E-2</v>
      </c>
      <c r="H493">
        <v>1.5175589097638888E-2</v>
      </c>
      <c r="I493">
        <v>1.9410068444901129E-2</v>
      </c>
      <c r="J493">
        <v>1.9821382505464887E-2</v>
      </c>
      <c r="K493">
        <v>1.9042663268193136E-2</v>
      </c>
      <c r="L493">
        <v>1.592991559728818E-2</v>
      </c>
      <c r="M493">
        <v>1.4931232959671185E-2</v>
      </c>
      <c r="N493">
        <v>1.0209199011233747E-2</v>
      </c>
    </row>
    <row r="494" spans="4:16" x14ac:dyDescent="0.25">
      <c r="E494">
        <v>1.4531031592604484E-2</v>
      </c>
      <c r="F494">
        <v>1.7017461813923839E-2</v>
      </c>
      <c r="G494">
        <v>1.3658228590829954E-2</v>
      </c>
      <c r="H494">
        <v>1.4781275762315438E-2</v>
      </c>
      <c r="I494">
        <v>1.8601914862528511E-2</v>
      </c>
      <c r="J494">
        <v>1.9042663268193136E-2</v>
      </c>
      <c r="K494">
        <v>1.8419596531044982E-2</v>
      </c>
      <c r="L494">
        <v>1.5264871138499288E-2</v>
      </c>
      <c r="M494">
        <v>1.4449189307555666E-2</v>
      </c>
      <c r="N494">
        <v>1.0034670355227392E-2</v>
      </c>
    </row>
    <row r="495" spans="4:16" x14ac:dyDescent="0.25">
      <c r="E495">
        <v>1.2092548646061248E-2</v>
      </c>
      <c r="F495">
        <v>1.4186519114745581E-2</v>
      </c>
      <c r="G495">
        <v>1.1264676178260359E-2</v>
      </c>
      <c r="H495">
        <v>1.2301403735132607E-2</v>
      </c>
      <c r="I495">
        <v>1.5670392871574037E-2</v>
      </c>
      <c r="J495">
        <v>1.592991559728818E-2</v>
      </c>
      <c r="K495">
        <v>1.5264871138499288E-2</v>
      </c>
      <c r="L495">
        <v>1.2975366961639234E-2</v>
      </c>
      <c r="M495">
        <v>1.2174422515271151E-2</v>
      </c>
      <c r="N495">
        <v>8.4614481048195574E-3</v>
      </c>
    </row>
    <row r="496" spans="4:16" x14ac:dyDescent="0.25">
      <c r="E496">
        <v>1.1813908012642604E-2</v>
      </c>
      <c r="F496">
        <v>1.3930901795526297E-2</v>
      </c>
      <c r="G496">
        <v>1.14019870869868E-2</v>
      </c>
      <c r="H496">
        <v>1.210953874460096E-2</v>
      </c>
      <c r="I496">
        <v>1.4655875739566693E-2</v>
      </c>
      <c r="J496">
        <v>1.4931232959671185E-2</v>
      </c>
      <c r="K496">
        <v>1.4449189307555666E-2</v>
      </c>
      <c r="L496">
        <v>1.2174422515271151E-2</v>
      </c>
      <c r="M496">
        <v>1.1892506816199281E-2</v>
      </c>
      <c r="N496">
        <v>8.8248409898022476E-3</v>
      </c>
    </row>
    <row r="497" spans="2:18" x14ac:dyDescent="0.25">
      <c r="E497">
        <v>8.7401141172600734E-3</v>
      </c>
      <c r="F497">
        <v>1.0384174245932508E-2</v>
      </c>
      <c r="G497">
        <v>8.951570755006041E-3</v>
      </c>
      <c r="H497">
        <v>9.0606617561590184E-3</v>
      </c>
      <c r="I497">
        <v>1.0028321438385668E-2</v>
      </c>
      <c r="J497">
        <v>1.0209199011233747E-2</v>
      </c>
      <c r="K497">
        <v>1.0034670355227392E-2</v>
      </c>
      <c r="L497">
        <v>8.4614481048195574E-3</v>
      </c>
      <c r="M497">
        <v>8.8248409898022476E-3</v>
      </c>
      <c r="N497">
        <v>7.3481934782250189E-3</v>
      </c>
    </row>
    <row r="501" spans="2:18" x14ac:dyDescent="0.25">
      <c r="B501" t="s">
        <v>18</v>
      </c>
      <c r="D501" t="s">
        <v>13</v>
      </c>
      <c r="E501">
        <f t="array" ref="E501:N501">Eigenvaluesevec(E488:N497,$B$502)</f>
        <v>1.1380637710148437E-4</v>
      </c>
      <c r="F501">
        <v>8.539156558322718E-5</v>
      </c>
      <c r="G501">
        <v>3.6099099874253851E-3</v>
      </c>
      <c r="H501">
        <v>3.6767824349507352E-5</v>
      </c>
      <c r="I501">
        <v>9.3864522417065968E-5</v>
      </c>
      <c r="J501">
        <v>0.13833346231451038</v>
      </c>
      <c r="K501">
        <v>1.4388022857815427E-4</v>
      </c>
      <c r="L501">
        <v>1.7468367944806581E-4</v>
      </c>
      <c r="M501">
        <v>1.4627073364046678E-4</v>
      </c>
      <c r="N501">
        <v>3.6293348785053196E-4</v>
      </c>
    </row>
    <row r="502" spans="2:18" x14ac:dyDescent="0.25">
      <c r="B502" s="1">
        <v>9.9999999999999995E-7</v>
      </c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R502" s="4"/>
    </row>
    <row r="503" spans="2:18" x14ac:dyDescent="0.25">
      <c r="D503" t="s">
        <v>15</v>
      </c>
      <c r="E503">
        <f>RANK(E501,$E$501:$N$501)</f>
        <v>7</v>
      </c>
      <c r="F503">
        <f>RANK(F501,$E$501:$N$501)</f>
        <v>9</v>
      </c>
      <c r="G503">
        <f>RANK(G501,$E$501:$N$501)</f>
        <v>2</v>
      </c>
      <c r="H503">
        <f>RANK(H501,$E$501:$N$501)</f>
        <v>10</v>
      </c>
      <c r="I503">
        <f>RANK(I501,$E$501:$N$501)</f>
        <v>8</v>
      </c>
      <c r="J503">
        <f>RANK(J501,$E$501:$N$501)</f>
        <v>1</v>
      </c>
      <c r="K503">
        <f>RANK(K501,$E$501:$N$501)</f>
        <v>6</v>
      </c>
      <c r="L503">
        <f>RANK(L501,$E$501:$N$501)</f>
        <v>4</v>
      </c>
      <c r="M503">
        <f>RANK(M501,$E$501:$N$501)</f>
        <v>5</v>
      </c>
      <c r="N503">
        <f>RANK(N501,$E$501:$N$501)</f>
        <v>3</v>
      </c>
      <c r="R503" s="4"/>
    </row>
    <row r="506" spans="2:18" x14ac:dyDescent="0.25">
      <c r="D506" t="s">
        <v>14</v>
      </c>
      <c r="E506">
        <f t="array" ref="E506:N515">EigenvectorsEmat(E488:N497,$B$502)</f>
        <v>0.92834259523902951</v>
      </c>
      <c r="F506">
        <v>6.0743223161290549E-2</v>
      </c>
      <c r="G506">
        <v>0.17201300796398117</v>
      </c>
      <c r="H506">
        <v>3.3041598617404473E-2</v>
      </c>
      <c r="I506">
        <v>0</v>
      </c>
      <c r="J506">
        <v>0.29247323897187533</v>
      </c>
      <c r="K506">
        <v>0</v>
      </c>
      <c r="L506">
        <v>0</v>
      </c>
      <c r="M506">
        <v>-0.13475586735898104</v>
      </c>
      <c r="N506">
        <v>-1.0503582934401234E-2</v>
      </c>
    </row>
    <row r="507" spans="2:18" x14ac:dyDescent="0.25">
      <c r="E507">
        <v>-0.21470407298749017</v>
      </c>
      <c r="F507">
        <v>0.70581031880999434</v>
      </c>
      <c r="G507">
        <v>0.22398678118446405</v>
      </c>
      <c r="H507">
        <v>-0.28187163991876335</v>
      </c>
      <c r="I507">
        <v>0</v>
      </c>
      <c r="J507">
        <v>0.34691287793521969</v>
      </c>
      <c r="K507">
        <v>0</v>
      </c>
      <c r="L507">
        <v>-0.18147193628109703</v>
      </c>
      <c r="M507">
        <v>-0.16135487806204912</v>
      </c>
      <c r="N507">
        <v>-0.38313998767907415</v>
      </c>
    </row>
    <row r="508" spans="2:18" x14ac:dyDescent="0.25">
      <c r="E508">
        <v>-0.13808384115454875</v>
      </c>
      <c r="F508">
        <v>-0.66696162384984725</v>
      </c>
      <c r="G508">
        <v>0.44813125545339716</v>
      </c>
      <c r="H508">
        <v>-0.18660914849411325</v>
      </c>
      <c r="I508">
        <v>0</v>
      </c>
      <c r="J508">
        <v>0.28008503580233057</v>
      </c>
      <c r="K508">
        <v>0</v>
      </c>
      <c r="L508">
        <v>0</v>
      </c>
      <c r="M508">
        <v>-8.1572195316816795E-2</v>
      </c>
      <c r="N508">
        <v>-0.46405689131662164</v>
      </c>
    </row>
    <row r="509" spans="2:18" x14ac:dyDescent="0.25">
      <c r="E509">
        <v>-0.18508744707577771</v>
      </c>
      <c r="F509">
        <v>6.1540938951018406E-2</v>
      </c>
      <c r="G509">
        <v>0.18974283913192405</v>
      </c>
      <c r="H509">
        <v>0.9047770838081225</v>
      </c>
      <c r="I509">
        <v>0</v>
      </c>
      <c r="J509">
        <v>0.29631416983886621</v>
      </c>
      <c r="K509">
        <v>0</v>
      </c>
      <c r="L509">
        <v>0</v>
      </c>
      <c r="M509">
        <v>-0.13934168127437269</v>
      </c>
      <c r="N509">
        <v>-1.064152217304256E-2</v>
      </c>
    </row>
    <row r="510" spans="2:18" x14ac:dyDescent="0.25">
      <c r="E510">
        <v>-4.9383908798435905E-2</v>
      </c>
      <c r="F510">
        <v>-0.11834711210557504</v>
      </c>
      <c r="G510">
        <v>-0.35364588234768896</v>
      </c>
      <c r="H510">
        <v>-5.7734556186164881E-2</v>
      </c>
      <c r="I510">
        <v>0.71281875907470515</v>
      </c>
      <c r="J510">
        <v>0.36873213113963754</v>
      </c>
      <c r="K510">
        <v>-0.39695339338730484</v>
      </c>
      <c r="L510">
        <v>-0.1972507264333041</v>
      </c>
      <c r="M510">
        <v>-6.6694444042046983E-2</v>
      </c>
      <c r="N510">
        <v>0.10076973374355785</v>
      </c>
    </row>
    <row r="511" spans="2:18" x14ac:dyDescent="0.25">
      <c r="E511">
        <v>-5.0191577204368815E-2</v>
      </c>
      <c r="F511">
        <v>-0.12028266612927969</v>
      </c>
      <c r="G511">
        <v>-0.35942972192236317</v>
      </c>
      <c r="H511">
        <v>-5.8678798513203997E-2</v>
      </c>
      <c r="I511">
        <v>-0.70134828488504719</v>
      </c>
      <c r="J511">
        <v>0.37476270465679956</v>
      </c>
      <c r="K511">
        <v>-0.40344552254976868</v>
      </c>
      <c r="L511">
        <v>-0.20047674040554236</v>
      </c>
      <c r="M511">
        <v>-6.7785224351152973E-2</v>
      </c>
      <c r="N511">
        <v>0.10241781167418781</v>
      </c>
    </row>
    <row r="512" spans="2:18" x14ac:dyDescent="0.25">
      <c r="E512">
        <v>-4.8340566781790384E-2</v>
      </c>
      <c r="F512">
        <v>-0.11584677307586443</v>
      </c>
      <c r="G512">
        <v>-0.34617434724557683</v>
      </c>
      <c r="H512">
        <v>-5.6514788659716736E-2</v>
      </c>
      <c r="I512">
        <v>0</v>
      </c>
      <c r="J512">
        <v>0.36094186636178316</v>
      </c>
      <c r="K512">
        <v>0.82441477049653089</v>
      </c>
      <c r="L512">
        <v>-0.19308337768127021</v>
      </c>
      <c r="M512">
        <v>-6.5285379481566388E-2</v>
      </c>
      <c r="N512">
        <v>9.8640754896420463E-2</v>
      </c>
    </row>
    <row r="513" spans="5:14" x14ac:dyDescent="0.25">
      <c r="E513">
        <v>-7.3834707533015825E-2</v>
      </c>
      <c r="F513">
        <v>6.3164927651230093E-2</v>
      </c>
      <c r="G513">
        <v>-0.18215591312297927</v>
      </c>
      <c r="H513">
        <v>-9.2392103867083908E-2</v>
      </c>
      <c r="I513">
        <v>0</v>
      </c>
      <c r="J513">
        <v>0.3041335315797381</v>
      </c>
      <c r="K513">
        <v>0</v>
      </c>
      <c r="L513">
        <v>0.92232747605364329</v>
      </c>
      <c r="M513">
        <v>-7.4411522889262449E-2</v>
      </c>
      <c r="N513">
        <v>-1.0922338684078041E-2</v>
      </c>
    </row>
    <row r="514" spans="5:14" x14ac:dyDescent="0.25">
      <c r="E514">
        <v>2.4256369614021993E-2</v>
      </c>
      <c r="F514">
        <v>6.0263264627788381E-2</v>
      </c>
      <c r="G514">
        <v>9.155130831194791E-2</v>
      </c>
      <c r="H514">
        <v>3.278052262585119E-2</v>
      </c>
      <c r="I514">
        <v>0</v>
      </c>
      <c r="J514">
        <v>0.29016228114711795</v>
      </c>
      <c r="K514">
        <v>0</v>
      </c>
      <c r="L514">
        <v>0</v>
      </c>
      <c r="M514">
        <v>0.94974787426176643</v>
      </c>
      <c r="N514">
        <v>-1.042058957317759E-2</v>
      </c>
    </row>
    <row r="515" spans="5:14" x14ac:dyDescent="0.25">
      <c r="E515">
        <v>-0.1594458086116578</v>
      </c>
      <c r="F515">
        <v>-1.0281780691129188E-3</v>
      </c>
      <c r="G515">
        <v>0.51745844982652056</v>
      </c>
      <c r="H515">
        <v>-0.21547812059106133</v>
      </c>
      <c r="I515">
        <v>0</v>
      </c>
      <c r="J515">
        <v>0.2109035097371928</v>
      </c>
      <c r="K515">
        <v>0</v>
      </c>
      <c r="L515">
        <v>0</v>
      </c>
      <c r="M515">
        <v>-9.4191648593847696E-2</v>
      </c>
      <c r="N515">
        <v>0.77912101250795307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Yield Curve PC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EPerry</dc:creator>
  <cp:lastModifiedBy>Ellen Perry</cp:lastModifiedBy>
  <dcterms:created xsi:type="dcterms:W3CDTF">2019-05-18T19:35:15Z</dcterms:created>
  <dcterms:modified xsi:type="dcterms:W3CDTF">2020-04-30T19:10:36Z</dcterms:modified>
</cp:coreProperties>
</file>