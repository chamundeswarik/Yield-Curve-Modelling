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UConn\Spring 2020\5661\Final Lecture\Uploads for Husky CT\"/>
    </mc:Choice>
  </mc:AlternateContent>
  <bookViews>
    <workbookView xWindow="480" yWindow="30" windowWidth="22995" windowHeight="9915"/>
  </bookViews>
  <sheets>
    <sheet name="SVI" sheetId="1" r:id="rId1"/>
    <sheet name="Data" sheetId="2" r:id="rId2"/>
  </sheets>
  <functionGroups builtInGroupCount="18"/>
  <definedNames>
    <definedName name="solver_adj" localSheetId="0" hidden="1">SVI!$C$14:$C$18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SVI!$C$7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SVI!$C$11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hs1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52511"/>
</workbook>
</file>

<file path=xl/calcChain.xml><?xml version="1.0" encoding="utf-8"?>
<calcChain xmlns="http://schemas.openxmlformats.org/spreadsheetml/2006/main">
  <c r="C6" i="1" l="1"/>
  <c r="F2" i="1" s="1"/>
  <c r="H2" i="1" s="1"/>
  <c r="I2" i="1" s="1"/>
  <c r="D2" i="1"/>
  <c r="E15" i="2"/>
  <c r="E3" i="1"/>
  <c r="G68" i="1"/>
  <c r="G36" i="1"/>
  <c r="G5" i="1"/>
  <c r="G13" i="1"/>
  <c r="G21" i="1"/>
  <c r="G29" i="1"/>
  <c r="G37" i="1"/>
  <c r="G45" i="1"/>
  <c r="G53" i="1"/>
  <c r="G61" i="1"/>
  <c r="G69" i="1"/>
  <c r="G77" i="1"/>
  <c r="G85" i="1"/>
  <c r="G93" i="1"/>
  <c r="G101" i="1"/>
  <c r="G6" i="1"/>
  <c r="G14" i="1"/>
  <c r="G22" i="1"/>
  <c r="G30" i="1"/>
  <c r="G38" i="1"/>
  <c r="G46" i="1"/>
  <c r="G54" i="1"/>
  <c r="G62" i="1"/>
  <c r="G70" i="1"/>
  <c r="G78" i="1"/>
  <c r="G86" i="1"/>
  <c r="G94" i="1"/>
  <c r="G64" i="1"/>
  <c r="G80" i="1"/>
  <c r="G96" i="1"/>
  <c r="G43" i="1"/>
  <c r="G59" i="1"/>
  <c r="G83" i="1"/>
  <c r="G99" i="1"/>
  <c r="G12" i="1"/>
  <c r="G44" i="1"/>
  <c r="G84" i="1"/>
  <c r="G92" i="1"/>
  <c r="G7" i="1"/>
  <c r="G15" i="1"/>
  <c r="G23" i="1"/>
  <c r="G31" i="1"/>
  <c r="G39" i="1"/>
  <c r="G47" i="1"/>
  <c r="G55" i="1"/>
  <c r="G63" i="1"/>
  <c r="G71" i="1"/>
  <c r="G79" i="1"/>
  <c r="G87" i="1"/>
  <c r="G95" i="1"/>
  <c r="G8" i="1"/>
  <c r="G16" i="1"/>
  <c r="G24" i="1"/>
  <c r="G32" i="1"/>
  <c r="G40" i="1"/>
  <c r="G48" i="1"/>
  <c r="G56" i="1"/>
  <c r="G72" i="1"/>
  <c r="G88" i="1"/>
  <c r="G27" i="1"/>
  <c r="G67" i="1"/>
  <c r="G91" i="1"/>
  <c r="G20" i="1"/>
  <c r="G60" i="1"/>
  <c r="G76" i="1"/>
  <c r="G9" i="1"/>
  <c r="G17" i="1"/>
  <c r="G25" i="1"/>
  <c r="G33" i="1"/>
  <c r="G41" i="1"/>
  <c r="G49" i="1"/>
  <c r="G57" i="1"/>
  <c r="G65" i="1"/>
  <c r="G73" i="1"/>
  <c r="G81" i="1"/>
  <c r="G89" i="1"/>
  <c r="G97" i="1"/>
  <c r="G10" i="1"/>
  <c r="G18" i="1"/>
  <c r="G26" i="1"/>
  <c r="G34" i="1"/>
  <c r="G42" i="1"/>
  <c r="G50" i="1"/>
  <c r="G58" i="1"/>
  <c r="G66" i="1"/>
  <c r="G74" i="1"/>
  <c r="G82" i="1"/>
  <c r="G90" i="1"/>
  <c r="G98" i="1"/>
  <c r="G3" i="1"/>
  <c r="G11" i="1"/>
  <c r="G19" i="1"/>
  <c r="G35" i="1"/>
  <c r="G51" i="1"/>
  <c r="G75" i="1"/>
  <c r="G4" i="1"/>
  <c r="G28" i="1"/>
  <c r="G52" i="1"/>
  <c r="G100" i="1"/>
  <c r="G2" i="1"/>
  <c r="D3" i="1" l="1"/>
  <c r="F3" i="1"/>
  <c r="H3" i="1" s="1"/>
  <c r="I3" i="1" s="1"/>
  <c r="E4" i="1"/>
  <c r="D4" i="1"/>
  <c r="E5" i="1" l="1"/>
  <c r="F4" i="1"/>
  <c r="H4" i="1" s="1"/>
  <c r="I4" i="1" s="1"/>
  <c r="E6" i="1" l="1"/>
  <c r="F5" i="1"/>
  <c r="H5" i="1" s="1"/>
  <c r="I5" i="1" s="1"/>
  <c r="D5" i="1"/>
  <c r="E7" i="1" l="1"/>
  <c r="F6" i="1"/>
  <c r="H6" i="1" s="1"/>
  <c r="I6" i="1" s="1"/>
  <c r="D6" i="1"/>
  <c r="E8" i="1" l="1"/>
  <c r="F7" i="1"/>
  <c r="H7" i="1" s="1"/>
  <c r="I7" i="1" s="1"/>
  <c r="D7" i="1"/>
  <c r="E9" i="1" l="1"/>
  <c r="F8" i="1"/>
  <c r="H8" i="1" s="1"/>
  <c r="I8" i="1" s="1"/>
  <c r="D8" i="1"/>
  <c r="E10" i="1" l="1"/>
  <c r="F9" i="1"/>
  <c r="H9" i="1" s="1"/>
  <c r="I9" i="1" s="1"/>
  <c r="D9" i="1"/>
  <c r="E11" i="1" l="1"/>
  <c r="F10" i="1"/>
  <c r="H10" i="1" s="1"/>
  <c r="I10" i="1" s="1"/>
  <c r="D10" i="1"/>
  <c r="E12" i="1" l="1"/>
  <c r="F11" i="1"/>
  <c r="H11" i="1" s="1"/>
  <c r="I11" i="1" s="1"/>
  <c r="D11" i="1"/>
  <c r="E13" i="1" l="1"/>
  <c r="F12" i="1"/>
  <c r="H12" i="1" s="1"/>
  <c r="I12" i="1" s="1"/>
  <c r="D12" i="1"/>
  <c r="E14" i="1" l="1"/>
  <c r="F13" i="1"/>
  <c r="H13" i="1" s="1"/>
  <c r="I13" i="1" s="1"/>
  <c r="D13" i="1"/>
  <c r="E15" i="1" l="1"/>
  <c r="F14" i="1"/>
  <c r="H14" i="1" s="1"/>
  <c r="I14" i="1" s="1"/>
  <c r="D14" i="1"/>
  <c r="E16" i="1" l="1"/>
  <c r="F15" i="1"/>
  <c r="H15" i="1" s="1"/>
  <c r="I15" i="1" s="1"/>
  <c r="D15" i="1"/>
  <c r="E17" i="1" l="1"/>
  <c r="F16" i="1"/>
  <c r="H16" i="1" s="1"/>
  <c r="I16" i="1" s="1"/>
  <c r="D16" i="1"/>
  <c r="E18" i="1" l="1"/>
  <c r="F17" i="1"/>
  <c r="H17" i="1" s="1"/>
  <c r="I17" i="1" s="1"/>
  <c r="D17" i="1"/>
  <c r="E19" i="1" l="1"/>
  <c r="F18" i="1"/>
  <c r="H18" i="1" s="1"/>
  <c r="I18" i="1" s="1"/>
  <c r="D18" i="1"/>
  <c r="E20" i="1" l="1"/>
  <c r="F19" i="1"/>
  <c r="H19" i="1" s="1"/>
  <c r="I19" i="1" s="1"/>
  <c r="D19" i="1"/>
  <c r="E21" i="1" l="1"/>
  <c r="F20" i="1"/>
  <c r="H20" i="1" s="1"/>
  <c r="I20" i="1" s="1"/>
  <c r="D20" i="1"/>
  <c r="E22" i="1" l="1"/>
  <c r="F21" i="1"/>
  <c r="H21" i="1" s="1"/>
  <c r="I21" i="1" s="1"/>
  <c r="D21" i="1"/>
  <c r="E23" i="1" l="1"/>
  <c r="F22" i="1"/>
  <c r="H22" i="1" s="1"/>
  <c r="I22" i="1" s="1"/>
  <c r="D22" i="1"/>
  <c r="E24" i="1" l="1"/>
  <c r="F23" i="1"/>
  <c r="H23" i="1" s="1"/>
  <c r="I23" i="1" s="1"/>
  <c r="D23" i="1"/>
  <c r="E25" i="1" l="1"/>
  <c r="F24" i="1"/>
  <c r="H24" i="1" s="1"/>
  <c r="I24" i="1" s="1"/>
  <c r="D24" i="1"/>
  <c r="E26" i="1" l="1"/>
  <c r="F25" i="1"/>
  <c r="H25" i="1" s="1"/>
  <c r="I25" i="1" s="1"/>
  <c r="D25" i="1"/>
  <c r="E27" i="1" l="1"/>
  <c r="F26" i="1"/>
  <c r="H26" i="1" s="1"/>
  <c r="I26" i="1" s="1"/>
  <c r="D26" i="1"/>
  <c r="E28" i="1" l="1"/>
  <c r="F27" i="1"/>
  <c r="H27" i="1" s="1"/>
  <c r="I27" i="1" s="1"/>
  <c r="D27" i="1"/>
  <c r="E29" i="1" l="1"/>
  <c r="F28" i="1"/>
  <c r="H28" i="1" s="1"/>
  <c r="I28" i="1" s="1"/>
  <c r="D28" i="1"/>
  <c r="E30" i="1" l="1"/>
  <c r="F29" i="1"/>
  <c r="H29" i="1" s="1"/>
  <c r="I29" i="1" s="1"/>
  <c r="D29" i="1"/>
  <c r="E31" i="1" l="1"/>
  <c r="F30" i="1"/>
  <c r="H30" i="1" s="1"/>
  <c r="I30" i="1" s="1"/>
  <c r="D30" i="1"/>
  <c r="E32" i="1" l="1"/>
  <c r="F31" i="1"/>
  <c r="H31" i="1" s="1"/>
  <c r="I31" i="1" s="1"/>
  <c r="D31" i="1"/>
  <c r="E33" i="1" l="1"/>
  <c r="F32" i="1"/>
  <c r="H32" i="1" s="1"/>
  <c r="I32" i="1" s="1"/>
  <c r="D32" i="1"/>
  <c r="E34" i="1" l="1"/>
  <c r="F33" i="1"/>
  <c r="H33" i="1" s="1"/>
  <c r="I33" i="1" s="1"/>
  <c r="D33" i="1"/>
  <c r="E35" i="1" l="1"/>
  <c r="F34" i="1"/>
  <c r="H34" i="1" s="1"/>
  <c r="I34" i="1" s="1"/>
  <c r="D34" i="1"/>
  <c r="E36" i="1" l="1"/>
  <c r="F35" i="1"/>
  <c r="H35" i="1" s="1"/>
  <c r="I35" i="1" s="1"/>
  <c r="D35" i="1"/>
  <c r="E37" i="1" l="1"/>
  <c r="F36" i="1"/>
  <c r="H36" i="1" s="1"/>
  <c r="I36" i="1" s="1"/>
  <c r="D36" i="1"/>
  <c r="E38" i="1" l="1"/>
  <c r="F37" i="1"/>
  <c r="H37" i="1" s="1"/>
  <c r="I37" i="1" s="1"/>
  <c r="D37" i="1"/>
  <c r="E39" i="1" l="1"/>
  <c r="F38" i="1"/>
  <c r="H38" i="1" s="1"/>
  <c r="I38" i="1" s="1"/>
  <c r="D38" i="1"/>
  <c r="E40" i="1" l="1"/>
  <c r="F39" i="1"/>
  <c r="H39" i="1" s="1"/>
  <c r="I39" i="1" s="1"/>
  <c r="D39" i="1"/>
  <c r="E41" i="1" l="1"/>
  <c r="F40" i="1"/>
  <c r="H40" i="1" s="1"/>
  <c r="I40" i="1" s="1"/>
  <c r="D40" i="1"/>
  <c r="E42" i="1" l="1"/>
  <c r="F41" i="1"/>
  <c r="H41" i="1" s="1"/>
  <c r="I41" i="1" s="1"/>
  <c r="D41" i="1"/>
  <c r="E43" i="1" l="1"/>
  <c r="F42" i="1"/>
  <c r="H42" i="1" s="1"/>
  <c r="I42" i="1" s="1"/>
  <c r="D42" i="1"/>
  <c r="E44" i="1" l="1"/>
  <c r="F43" i="1"/>
  <c r="H43" i="1" s="1"/>
  <c r="I43" i="1" s="1"/>
  <c r="D43" i="1"/>
  <c r="E45" i="1" l="1"/>
  <c r="F44" i="1"/>
  <c r="H44" i="1" s="1"/>
  <c r="I44" i="1" s="1"/>
  <c r="D44" i="1"/>
  <c r="E46" i="1" l="1"/>
  <c r="F45" i="1"/>
  <c r="H45" i="1" s="1"/>
  <c r="I45" i="1" s="1"/>
  <c r="D45" i="1"/>
  <c r="E47" i="1" l="1"/>
  <c r="F46" i="1"/>
  <c r="H46" i="1" s="1"/>
  <c r="I46" i="1" s="1"/>
  <c r="D46" i="1"/>
  <c r="E48" i="1" l="1"/>
  <c r="F47" i="1"/>
  <c r="H47" i="1" s="1"/>
  <c r="I47" i="1" s="1"/>
  <c r="D47" i="1"/>
  <c r="E49" i="1" l="1"/>
  <c r="F48" i="1"/>
  <c r="H48" i="1" s="1"/>
  <c r="I48" i="1" s="1"/>
  <c r="D48" i="1"/>
  <c r="E50" i="1" l="1"/>
  <c r="F49" i="1"/>
  <c r="H49" i="1" s="1"/>
  <c r="I49" i="1" s="1"/>
  <c r="D49" i="1"/>
  <c r="E51" i="1" l="1"/>
  <c r="F50" i="1"/>
  <c r="H50" i="1" s="1"/>
  <c r="I50" i="1" s="1"/>
  <c r="D50" i="1"/>
  <c r="E52" i="1" l="1"/>
  <c r="F51" i="1"/>
  <c r="H51" i="1" s="1"/>
  <c r="I51" i="1" s="1"/>
  <c r="D51" i="1"/>
  <c r="E53" i="1" l="1"/>
  <c r="F52" i="1"/>
  <c r="H52" i="1" s="1"/>
  <c r="I52" i="1" s="1"/>
  <c r="D52" i="1"/>
  <c r="E54" i="1" l="1"/>
  <c r="F53" i="1"/>
  <c r="H53" i="1" s="1"/>
  <c r="I53" i="1" s="1"/>
  <c r="D53" i="1"/>
  <c r="E55" i="1" l="1"/>
  <c r="F54" i="1"/>
  <c r="H54" i="1" s="1"/>
  <c r="I54" i="1" s="1"/>
  <c r="D54" i="1"/>
  <c r="E56" i="1" l="1"/>
  <c r="F55" i="1"/>
  <c r="H55" i="1" s="1"/>
  <c r="I55" i="1" s="1"/>
  <c r="D55" i="1"/>
  <c r="E57" i="1" l="1"/>
  <c r="F56" i="1"/>
  <c r="H56" i="1" s="1"/>
  <c r="I56" i="1" s="1"/>
  <c r="D56" i="1"/>
  <c r="E58" i="1" l="1"/>
  <c r="F57" i="1"/>
  <c r="H57" i="1" s="1"/>
  <c r="I57" i="1" s="1"/>
  <c r="D57" i="1"/>
  <c r="E59" i="1" l="1"/>
  <c r="F58" i="1"/>
  <c r="H58" i="1" s="1"/>
  <c r="I58" i="1" s="1"/>
  <c r="D58" i="1"/>
  <c r="E60" i="1" l="1"/>
  <c r="F59" i="1"/>
  <c r="H59" i="1" s="1"/>
  <c r="I59" i="1" s="1"/>
  <c r="D59" i="1"/>
  <c r="E61" i="1" l="1"/>
  <c r="F60" i="1"/>
  <c r="H60" i="1" s="1"/>
  <c r="I60" i="1" s="1"/>
  <c r="D60" i="1"/>
  <c r="E62" i="1" l="1"/>
  <c r="F61" i="1"/>
  <c r="H61" i="1" s="1"/>
  <c r="I61" i="1" s="1"/>
  <c r="D61" i="1"/>
  <c r="E63" i="1" l="1"/>
  <c r="F62" i="1"/>
  <c r="H62" i="1" s="1"/>
  <c r="I62" i="1" s="1"/>
  <c r="D62" i="1"/>
  <c r="E64" i="1" l="1"/>
  <c r="F63" i="1"/>
  <c r="H63" i="1" s="1"/>
  <c r="I63" i="1" s="1"/>
  <c r="D63" i="1"/>
  <c r="E65" i="1" l="1"/>
  <c r="F64" i="1"/>
  <c r="H64" i="1" s="1"/>
  <c r="I64" i="1" s="1"/>
  <c r="D64" i="1"/>
  <c r="E66" i="1" l="1"/>
  <c r="F65" i="1"/>
  <c r="H65" i="1" s="1"/>
  <c r="I65" i="1" s="1"/>
  <c r="D65" i="1"/>
  <c r="E67" i="1" l="1"/>
  <c r="F66" i="1"/>
  <c r="H66" i="1" s="1"/>
  <c r="I66" i="1" s="1"/>
  <c r="C11" i="1" s="1"/>
  <c r="D66" i="1"/>
  <c r="E68" i="1" l="1"/>
  <c r="F67" i="1"/>
  <c r="H67" i="1" s="1"/>
  <c r="D67" i="1"/>
  <c r="E69" i="1" l="1"/>
  <c r="F68" i="1"/>
  <c r="H68" i="1" s="1"/>
  <c r="D68" i="1"/>
  <c r="E70" i="1" l="1"/>
  <c r="F69" i="1"/>
  <c r="H69" i="1" s="1"/>
  <c r="D69" i="1"/>
  <c r="E71" i="1" l="1"/>
  <c r="F70" i="1"/>
  <c r="H70" i="1" s="1"/>
  <c r="D70" i="1"/>
  <c r="E72" i="1" l="1"/>
  <c r="F71" i="1"/>
  <c r="H71" i="1" s="1"/>
  <c r="D71" i="1"/>
  <c r="E73" i="1" l="1"/>
  <c r="F72" i="1"/>
  <c r="H72" i="1" s="1"/>
  <c r="D72" i="1"/>
  <c r="E74" i="1" l="1"/>
  <c r="F73" i="1"/>
  <c r="H73" i="1" s="1"/>
  <c r="D73" i="1"/>
  <c r="E75" i="1" l="1"/>
  <c r="F74" i="1"/>
  <c r="H74" i="1" s="1"/>
  <c r="D74" i="1"/>
  <c r="E76" i="1" l="1"/>
  <c r="F75" i="1"/>
  <c r="H75" i="1" s="1"/>
  <c r="D75" i="1"/>
  <c r="E77" i="1" l="1"/>
  <c r="F76" i="1"/>
  <c r="H76" i="1" s="1"/>
  <c r="D76" i="1"/>
  <c r="E78" i="1" l="1"/>
  <c r="F77" i="1"/>
  <c r="H77" i="1" s="1"/>
  <c r="D77" i="1"/>
  <c r="E79" i="1" l="1"/>
  <c r="F78" i="1"/>
  <c r="H78" i="1" s="1"/>
  <c r="D78" i="1"/>
  <c r="E80" i="1" l="1"/>
  <c r="F79" i="1"/>
  <c r="H79" i="1" s="1"/>
  <c r="D79" i="1"/>
  <c r="E81" i="1" l="1"/>
  <c r="F80" i="1"/>
  <c r="H80" i="1" s="1"/>
  <c r="D80" i="1"/>
  <c r="E82" i="1" l="1"/>
  <c r="F81" i="1"/>
  <c r="H81" i="1" s="1"/>
  <c r="D81" i="1"/>
  <c r="E83" i="1" l="1"/>
  <c r="F82" i="1"/>
  <c r="H82" i="1" s="1"/>
  <c r="D82" i="1"/>
  <c r="E84" i="1" l="1"/>
  <c r="F83" i="1"/>
  <c r="H83" i="1" s="1"/>
  <c r="D83" i="1"/>
  <c r="E85" i="1" l="1"/>
  <c r="F84" i="1"/>
  <c r="H84" i="1" s="1"/>
  <c r="D84" i="1"/>
  <c r="E86" i="1" l="1"/>
  <c r="F85" i="1"/>
  <c r="H85" i="1" s="1"/>
  <c r="D85" i="1"/>
  <c r="E87" i="1" l="1"/>
  <c r="F86" i="1"/>
  <c r="H86" i="1" s="1"/>
  <c r="D86" i="1"/>
  <c r="E88" i="1" l="1"/>
  <c r="F87" i="1"/>
  <c r="H87" i="1" s="1"/>
  <c r="D87" i="1"/>
  <c r="E89" i="1" l="1"/>
  <c r="F88" i="1"/>
  <c r="H88" i="1" s="1"/>
  <c r="D88" i="1"/>
  <c r="E90" i="1" l="1"/>
  <c r="F89" i="1"/>
  <c r="H89" i="1" s="1"/>
  <c r="D89" i="1"/>
  <c r="E91" i="1" l="1"/>
  <c r="F90" i="1"/>
  <c r="H90" i="1" s="1"/>
  <c r="D90" i="1"/>
  <c r="E92" i="1" l="1"/>
  <c r="F91" i="1"/>
  <c r="H91" i="1" s="1"/>
  <c r="D91" i="1"/>
  <c r="E93" i="1" l="1"/>
  <c r="F92" i="1"/>
  <c r="H92" i="1" s="1"/>
  <c r="D92" i="1"/>
  <c r="E94" i="1" l="1"/>
  <c r="F93" i="1"/>
  <c r="H93" i="1" s="1"/>
  <c r="D93" i="1"/>
  <c r="E95" i="1" l="1"/>
  <c r="F94" i="1"/>
  <c r="H94" i="1" s="1"/>
  <c r="D94" i="1"/>
  <c r="E96" i="1" l="1"/>
  <c r="F95" i="1"/>
  <c r="H95" i="1" s="1"/>
  <c r="D95" i="1"/>
  <c r="E97" i="1" l="1"/>
  <c r="F96" i="1"/>
  <c r="H96" i="1" s="1"/>
  <c r="D96" i="1"/>
  <c r="E98" i="1" l="1"/>
  <c r="F97" i="1"/>
  <c r="H97" i="1" s="1"/>
  <c r="D97" i="1"/>
  <c r="E99" i="1" l="1"/>
  <c r="F98" i="1"/>
  <c r="H98" i="1" s="1"/>
  <c r="D98" i="1"/>
  <c r="E100" i="1" l="1"/>
  <c r="F99" i="1"/>
  <c r="H99" i="1" s="1"/>
  <c r="D99" i="1"/>
  <c r="E101" i="1" l="1"/>
  <c r="F100" i="1"/>
  <c r="H100" i="1" s="1"/>
  <c r="D100" i="1"/>
  <c r="D101" i="1" l="1"/>
  <c r="F101" i="1"/>
  <c r="H101" i="1" s="1"/>
</calcChain>
</file>

<file path=xl/sharedStrings.xml><?xml version="1.0" encoding="utf-8"?>
<sst xmlns="http://schemas.openxmlformats.org/spreadsheetml/2006/main" count="21" uniqueCount="17">
  <si>
    <t>K</t>
  </si>
  <si>
    <t>t</t>
  </si>
  <si>
    <t>r</t>
  </si>
  <si>
    <t>q</t>
  </si>
  <si>
    <t>s</t>
  </si>
  <si>
    <t>opt_type</t>
  </si>
  <si>
    <r>
      <t>S</t>
    </r>
    <r>
      <rPr>
        <vertAlign val="subscript"/>
        <sz val="11"/>
        <color theme="1"/>
        <rFont val="Calibri"/>
        <family val="2"/>
        <scheme val="minor"/>
      </rPr>
      <t>0</t>
    </r>
  </si>
  <si>
    <t>SumErr</t>
  </si>
  <si>
    <t>1y</t>
  </si>
  <si>
    <t>1m</t>
  </si>
  <si>
    <t>SVI</t>
  </si>
  <si>
    <t>SVI Parameters</t>
  </si>
  <si>
    <t>a</t>
  </si>
  <si>
    <t>b</t>
  </si>
  <si>
    <t>m</t>
  </si>
  <si>
    <t>k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</si>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</sst>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00000"/>
    <numFmt numFmtId="166" formatCode="0.0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indexed="23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164" fontId="0" fillId="0" borderId="0" xfId="0" applyNumberFormat="1"/>
    <xf numFmtId="0" fontId="2" fillId="0" borderId="0" xfId="0" applyFont="1" applyAlignment="1">
      <alignment horizontal="center"/>
    </xf>
    <xf numFmtId="165" fontId="0" fillId="0" borderId="1" xfId="0" applyNumberFormat="1" applyFill="1" applyBorder="1" applyAlignment="1"/>
    <xf numFmtId="166" fontId="0" fillId="0" borderId="1" xfId="1" applyNumberFormat="1" applyFont="1" applyFill="1" applyBorder="1" applyAlignment="1"/>
    <xf numFmtId="2" fontId="0" fillId="0" borderId="1" xfId="0" applyNumberFormat="1" applyFill="1" applyBorder="1" applyAlignment="1">
      <alignment horizontal="center"/>
    </xf>
    <xf numFmtId="10" fontId="0" fillId="0" borderId="0" xfId="1" applyNumberFormat="1" applyFont="1"/>
    <xf numFmtId="164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Alignment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SVI volatility curve fit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SVI!$G$1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SVI!$E$2:$E$101</c:f>
              <c:numCache>
                <c:formatCode>General</c:formatCode>
                <c:ptCount val="100"/>
                <c:pt idx="0">
                  <c:v>51</c:v>
                </c:pt>
                <c:pt idx="1">
                  <c:v>52</c:v>
                </c:pt>
                <c:pt idx="2">
                  <c:v>53</c:v>
                </c:pt>
                <c:pt idx="3">
                  <c:v>54</c:v>
                </c:pt>
                <c:pt idx="4">
                  <c:v>55</c:v>
                </c:pt>
                <c:pt idx="5">
                  <c:v>56</c:v>
                </c:pt>
                <c:pt idx="6">
                  <c:v>57</c:v>
                </c:pt>
                <c:pt idx="7">
                  <c:v>58</c:v>
                </c:pt>
                <c:pt idx="8">
                  <c:v>59</c:v>
                </c:pt>
                <c:pt idx="9">
                  <c:v>60</c:v>
                </c:pt>
                <c:pt idx="10">
                  <c:v>61</c:v>
                </c:pt>
                <c:pt idx="11">
                  <c:v>62</c:v>
                </c:pt>
                <c:pt idx="12">
                  <c:v>63</c:v>
                </c:pt>
                <c:pt idx="13">
                  <c:v>64</c:v>
                </c:pt>
                <c:pt idx="14">
                  <c:v>65</c:v>
                </c:pt>
                <c:pt idx="15">
                  <c:v>66</c:v>
                </c:pt>
                <c:pt idx="16">
                  <c:v>67</c:v>
                </c:pt>
                <c:pt idx="17">
                  <c:v>68</c:v>
                </c:pt>
                <c:pt idx="18">
                  <c:v>69</c:v>
                </c:pt>
                <c:pt idx="19">
                  <c:v>70</c:v>
                </c:pt>
                <c:pt idx="20">
                  <c:v>71</c:v>
                </c:pt>
                <c:pt idx="21">
                  <c:v>72</c:v>
                </c:pt>
                <c:pt idx="22">
                  <c:v>73</c:v>
                </c:pt>
                <c:pt idx="23">
                  <c:v>74</c:v>
                </c:pt>
                <c:pt idx="24">
                  <c:v>75</c:v>
                </c:pt>
                <c:pt idx="25">
                  <c:v>76</c:v>
                </c:pt>
                <c:pt idx="26">
                  <c:v>77</c:v>
                </c:pt>
                <c:pt idx="27">
                  <c:v>78</c:v>
                </c:pt>
                <c:pt idx="28">
                  <c:v>79</c:v>
                </c:pt>
                <c:pt idx="29">
                  <c:v>80</c:v>
                </c:pt>
                <c:pt idx="30">
                  <c:v>81</c:v>
                </c:pt>
                <c:pt idx="31">
                  <c:v>82</c:v>
                </c:pt>
                <c:pt idx="32">
                  <c:v>83</c:v>
                </c:pt>
                <c:pt idx="33">
                  <c:v>84</c:v>
                </c:pt>
                <c:pt idx="34">
                  <c:v>85</c:v>
                </c:pt>
                <c:pt idx="35">
                  <c:v>86</c:v>
                </c:pt>
                <c:pt idx="36">
                  <c:v>87</c:v>
                </c:pt>
                <c:pt idx="37">
                  <c:v>88</c:v>
                </c:pt>
                <c:pt idx="38">
                  <c:v>89</c:v>
                </c:pt>
                <c:pt idx="39">
                  <c:v>90</c:v>
                </c:pt>
                <c:pt idx="40">
                  <c:v>91</c:v>
                </c:pt>
                <c:pt idx="41">
                  <c:v>92</c:v>
                </c:pt>
                <c:pt idx="42">
                  <c:v>93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  <c:pt idx="48">
                  <c:v>99</c:v>
                </c:pt>
                <c:pt idx="49">
                  <c:v>100</c:v>
                </c:pt>
                <c:pt idx="50">
                  <c:v>101</c:v>
                </c:pt>
                <c:pt idx="51">
                  <c:v>102</c:v>
                </c:pt>
                <c:pt idx="52">
                  <c:v>103</c:v>
                </c:pt>
                <c:pt idx="53">
                  <c:v>104</c:v>
                </c:pt>
                <c:pt idx="54">
                  <c:v>105</c:v>
                </c:pt>
                <c:pt idx="55">
                  <c:v>106</c:v>
                </c:pt>
                <c:pt idx="56">
                  <c:v>107</c:v>
                </c:pt>
                <c:pt idx="57">
                  <c:v>108</c:v>
                </c:pt>
                <c:pt idx="58">
                  <c:v>109</c:v>
                </c:pt>
                <c:pt idx="59">
                  <c:v>110</c:v>
                </c:pt>
                <c:pt idx="60">
                  <c:v>111</c:v>
                </c:pt>
                <c:pt idx="61">
                  <c:v>112</c:v>
                </c:pt>
                <c:pt idx="62">
                  <c:v>113</c:v>
                </c:pt>
                <c:pt idx="63">
                  <c:v>114</c:v>
                </c:pt>
                <c:pt idx="64">
                  <c:v>115</c:v>
                </c:pt>
                <c:pt idx="65">
                  <c:v>116</c:v>
                </c:pt>
                <c:pt idx="66">
                  <c:v>117</c:v>
                </c:pt>
                <c:pt idx="67">
                  <c:v>118</c:v>
                </c:pt>
                <c:pt idx="68">
                  <c:v>119</c:v>
                </c:pt>
                <c:pt idx="69">
                  <c:v>120</c:v>
                </c:pt>
                <c:pt idx="70">
                  <c:v>121</c:v>
                </c:pt>
                <c:pt idx="71">
                  <c:v>122</c:v>
                </c:pt>
                <c:pt idx="72">
                  <c:v>123</c:v>
                </c:pt>
                <c:pt idx="73">
                  <c:v>124</c:v>
                </c:pt>
                <c:pt idx="74">
                  <c:v>125</c:v>
                </c:pt>
                <c:pt idx="75">
                  <c:v>126</c:v>
                </c:pt>
                <c:pt idx="76">
                  <c:v>127</c:v>
                </c:pt>
                <c:pt idx="77">
                  <c:v>128</c:v>
                </c:pt>
                <c:pt idx="78">
                  <c:v>129</c:v>
                </c:pt>
                <c:pt idx="79">
                  <c:v>130</c:v>
                </c:pt>
                <c:pt idx="80">
                  <c:v>131</c:v>
                </c:pt>
                <c:pt idx="81">
                  <c:v>132</c:v>
                </c:pt>
                <c:pt idx="82">
                  <c:v>133</c:v>
                </c:pt>
                <c:pt idx="83">
                  <c:v>134</c:v>
                </c:pt>
                <c:pt idx="84">
                  <c:v>135</c:v>
                </c:pt>
                <c:pt idx="85">
                  <c:v>136</c:v>
                </c:pt>
                <c:pt idx="86">
                  <c:v>137</c:v>
                </c:pt>
                <c:pt idx="87">
                  <c:v>138</c:v>
                </c:pt>
                <c:pt idx="88">
                  <c:v>139</c:v>
                </c:pt>
                <c:pt idx="89">
                  <c:v>140</c:v>
                </c:pt>
                <c:pt idx="90">
                  <c:v>141</c:v>
                </c:pt>
                <c:pt idx="91">
                  <c:v>142</c:v>
                </c:pt>
                <c:pt idx="92">
                  <c:v>143</c:v>
                </c:pt>
                <c:pt idx="93">
                  <c:v>144</c:v>
                </c:pt>
                <c:pt idx="94">
                  <c:v>145</c:v>
                </c:pt>
                <c:pt idx="95">
                  <c:v>146</c:v>
                </c:pt>
                <c:pt idx="96">
                  <c:v>147</c:v>
                </c:pt>
                <c:pt idx="97">
                  <c:v>148</c:v>
                </c:pt>
                <c:pt idx="98">
                  <c:v>149</c:v>
                </c:pt>
                <c:pt idx="99">
                  <c:v>150</c:v>
                </c:pt>
              </c:numCache>
            </c:numRef>
          </c:xVal>
          <c:yVal>
            <c:numRef>
              <c:f>SVI!$G$2:$G$101</c:f>
              <c:numCache>
                <c:formatCode>0.00%</c:formatCode>
                <c:ptCount val="100"/>
                <c:pt idx="0">
                  <c:v>0.35839177701494329</c:v>
                </c:pt>
                <c:pt idx="1">
                  <c:v>0.35658730165313174</c:v>
                </c:pt>
                <c:pt idx="2">
                  <c:v>0.35379049930460316</c:v>
                </c:pt>
                <c:pt idx="3">
                  <c:v>0.35017372535939517</c:v>
                </c:pt>
                <c:pt idx="4">
                  <c:v>0.3459093352075458</c:v>
                </c:pt>
                <c:pt idx="5">
                  <c:v>0.34116968423909277</c:v>
                </c:pt>
                <c:pt idx="6">
                  <c:v>0.33612712784407384</c:v>
                </c:pt>
                <c:pt idx="7">
                  <c:v>0.330954021412527</c:v>
                </c:pt>
                <c:pt idx="8">
                  <c:v>0.32582272033448972</c:v>
                </c:pt>
                <c:pt idx="9">
                  <c:v>0.32090558000000002</c:v>
                </c:pt>
                <c:pt idx="10">
                  <c:v>0.31633826508573715</c:v>
                </c:pt>
                <c:pt idx="11">
                  <c:v>0.31210967741494627</c:v>
                </c:pt>
                <c:pt idx="12">
                  <c:v>0.30817202809751382</c:v>
                </c:pt>
                <c:pt idx="13">
                  <c:v>0.30447752824332658</c:v>
                </c:pt>
                <c:pt idx="14">
                  <c:v>0.30097838896227103</c:v>
                </c:pt>
                <c:pt idx="15">
                  <c:v>0.2976268213642338</c:v>
                </c:pt>
                <c:pt idx="16">
                  <c:v>0.29437503655910147</c:v>
                </c:pt>
                <c:pt idx="17">
                  <c:v>0.29117524565676067</c:v>
                </c:pt>
                <c:pt idx="18">
                  <c:v>0.287979659767098</c:v>
                </c:pt>
                <c:pt idx="19">
                  <c:v>0.28474049000000001</c:v>
                </c:pt>
                <c:pt idx="20">
                  <c:v>0.2814198442621082</c:v>
                </c:pt>
                <c:pt idx="21">
                  <c:v>0.27801941764708349</c:v>
                </c:pt>
                <c:pt idx="22">
                  <c:v>0.27455080204534166</c:v>
                </c:pt>
                <c:pt idx="23">
                  <c:v>0.27102558934729865</c:v>
                </c:pt>
                <c:pt idx="24">
                  <c:v>0.26745537144337017</c:v>
                </c:pt>
                <c:pt idx="25">
                  <c:v>0.26385174022397212</c:v>
                </c:pt>
                <c:pt idx="26">
                  <c:v>0.26022628757952021</c:v>
                </c:pt>
                <c:pt idx="27">
                  <c:v>0.25659060540043038</c:v>
                </c:pt>
                <c:pt idx="28">
                  <c:v>0.25295628557711836</c:v>
                </c:pt>
                <c:pt idx="29">
                  <c:v>0.24933491999999999</c:v>
                </c:pt>
                <c:pt idx="30">
                  <c:v>0.24573557918583017</c:v>
                </c:pt>
                <c:pt idx="31">
                  <c:v>0.24215724815671999</c:v>
                </c:pt>
                <c:pt idx="32">
                  <c:v>0.2385963905611195</c:v>
                </c:pt>
                <c:pt idx="33">
                  <c:v>0.23504947004747889</c:v>
                </c:pt>
                <c:pt idx="34">
                  <c:v>0.23151295026424831</c:v>
                </c:pt>
                <c:pt idx="35">
                  <c:v>0.22798329485987787</c:v>
                </c:pt>
                <c:pt idx="36">
                  <c:v>0.22445696748281765</c:v>
                </c:pt>
                <c:pt idx="37">
                  <c:v>0.22093043178151789</c:v>
                </c:pt>
                <c:pt idx="38">
                  <c:v>0.21740015140442862</c:v>
                </c:pt>
                <c:pt idx="39">
                  <c:v>0.21386258999999999</c:v>
                </c:pt>
                <c:pt idx="40">
                  <c:v>0.21031533128457108</c:v>
                </c:pt>
                <c:pt idx="41">
                  <c:v>0.20676043924603665</c:v>
                </c:pt>
                <c:pt idx="42">
                  <c:v>0.20320109794018026</c:v>
                </c:pt>
                <c:pt idx="43">
                  <c:v>0.1996404914227857</c:v>
                </c:pt>
                <c:pt idx="44">
                  <c:v>0.19608180374963649</c:v>
                </c:pt>
                <c:pt idx="45">
                  <c:v>0.19252821897651642</c:v>
                </c:pt>
                <c:pt idx="46">
                  <c:v>0.18898292115920903</c:v>
                </c:pt>
                <c:pt idx="47">
                  <c:v>0.1854490943534981</c:v>
                </c:pt>
                <c:pt idx="48">
                  <c:v>0.18192992261516719</c:v>
                </c:pt>
                <c:pt idx="49">
                  <c:v>0.17842859</c:v>
                </c:pt>
                <c:pt idx="50">
                  <c:v>0.17494895696588542</c:v>
                </c:pt>
                <c:pt idx="51">
                  <c:v>0.1714975895791335</c:v>
                </c:pt>
                <c:pt idx="52">
                  <c:v>0.16808173030815934</c:v>
                </c:pt>
                <c:pt idx="53">
                  <c:v>0.16470862162137831</c:v>
                </c:pt>
                <c:pt idx="54">
                  <c:v>0.16138550598720561</c:v>
                </c:pt>
                <c:pt idx="55">
                  <c:v>0.15811962587405645</c:v>
                </c:pt>
                <c:pt idx="56">
                  <c:v>0.15491822375034606</c:v>
                </c:pt>
                <c:pt idx="57">
                  <c:v>0.15178854208448969</c:v>
                </c:pt>
                <c:pt idx="58">
                  <c:v>0.14873782334490263</c:v>
                </c:pt>
                <c:pt idx="59">
                  <c:v>0.14577331000000002</c:v>
                </c:pt>
                <c:pt idx="60">
                  <c:v>0.14290236973188722</c:v>
                </c:pt>
                <c:pt idx="61">
                  <c:v>0.1401328710774295</c:v>
                </c:pt>
                <c:pt idx="62">
                  <c:v>0.13747280778718232</c:v>
                </c:pt>
                <c:pt idx="63">
                  <c:v>0.13493017361170109</c:v>
                </c:pt>
                <c:pt idx="64">
                  <c:v>0.13251296230154117</c:v>
                </c:pt>
                <c:pt idx="65">
                  <c:v>0.13022916760725795</c:v>
                </c:pt>
                <c:pt idx="66">
                  <c:v>0.12808678327940681</c:v>
                </c:pt>
                <c:pt idx="67">
                  <c:v>0.12609380306854318</c:v>
                </c:pt>
                <c:pt idx="68">
                  <c:v>0.12425822072522245</c:v>
                </c:pt>
                <c:pt idx="69">
                  <c:v>0.12258803</c:v>
                </c:pt>
                <c:pt idx="70">
                  <c:v>0.12108862391656587</c:v>
                </c:pt>
                <c:pt idx="71">
                  <c:v>0.11975499259114859</c:v>
                </c:pt>
                <c:pt idx="72">
                  <c:v>0.11857952541311136</c:v>
                </c:pt>
                <c:pt idx="73">
                  <c:v>0.11755461177181738</c:v>
                </c:pt>
                <c:pt idx="74">
                  <c:v>0.11667264105662983</c:v>
                </c:pt>
                <c:pt idx="75">
                  <c:v>0.11592600265691189</c:v>
                </c:pt>
                <c:pt idx="76">
                  <c:v>0.11530708596202674</c:v>
                </c:pt>
                <c:pt idx="77">
                  <c:v>0.1148082803613376</c:v>
                </c:pt>
                <c:pt idx="78">
                  <c:v>0.11442197524420762</c:v>
                </c:pt>
                <c:pt idx="79">
                  <c:v>0.11414056</c:v>
                </c:pt>
                <c:pt idx="80">
                  <c:v>0.11395814516184939</c:v>
                </c:pt>
                <c:pt idx="81">
                  <c:v>0.11387572583797616</c:v>
                </c:pt>
                <c:pt idx="82">
                  <c:v>0.1138960182803722</c:v>
                </c:pt>
                <c:pt idx="83">
                  <c:v>0.11402173874102936</c:v>
                </c:pt>
                <c:pt idx="84">
                  <c:v>0.11425560347193951</c:v>
                </c:pt>
                <c:pt idx="85">
                  <c:v>0.1146003287250945</c:v>
                </c:pt>
                <c:pt idx="86">
                  <c:v>0.11505863075248618</c:v>
                </c:pt>
                <c:pt idx="87">
                  <c:v>0.11563322580610642</c:v>
                </c:pt>
                <c:pt idx="88">
                  <c:v>0.11632683013794708</c:v>
                </c:pt>
                <c:pt idx="89">
                  <c:v>0.11714216</c:v>
                </c:pt>
                <c:pt idx="90">
                  <c:v>0.11807440721603664</c:v>
                </c:pt>
                <c:pt idx="91">
                  <c:v>0.11908866589694678</c:v>
                </c:pt>
                <c:pt idx="92">
                  <c:v>0.12014250572539982</c:v>
                </c:pt>
                <c:pt idx="93">
                  <c:v>0.12119349638406512</c:v>
                </c:pt>
                <c:pt idx="94">
                  <c:v>0.12219920755561209</c:v>
                </c:pt>
                <c:pt idx="95">
                  <c:v>0.12311720892271008</c:v>
                </c:pt>
                <c:pt idx="96">
                  <c:v>0.12390507016802849</c:v>
                </c:pt>
                <c:pt idx="97">
                  <c:v>0.12452036097423669</c:v>
                </c:pt>
                <c:pt idx="98">
                  <c:v>0.12492065102400406</c:v>
                </c:pt>
                <c:pt idx="99">
                  <c:v>0.12506350999999999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SVI!$H$1</c:f>
              <c:strCache>
                <c:ptCount val="1"/>
                <c:pt idx="0">
                  <c:v>SVI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SVI!$E$2:$E$101</c:f>
              <c:numCache>
                <c:formatCode>General</c:formatCode>
                <c:ptCount val="100"/>
                <c:pt idx="0">
                  <c:v>51</c:v>
                </c:pt>
                <c:pt idx="1">
                  <c:v>52</c:v>
                </c:pt>
                <c:pt idx="2">
                  <c:v>53</c:v>
                </c:pt>
                <c:pt idx="3">
                  <c:v>54</c:v>
                </c:pt>
                <c:pt idx="4">
                  <c:v>55</c:v>
                </c:pt>
                <c:pt idx="5">
                  <c:v>56</c:v>
                </c:pt>
                <c:pt idx="6">
                  <c:v>57</c:v>
                </c:pt>
                <c:pt idx="7">
                  <c:v>58</c:v>
                </c:pt>
                <c:pt idx="8">
                  <c:v>59</c:v>
                </c:pt>
                <c:pt idx="9">
                  <c:v>60</c:v>
                </c:pt>
                <c:pt idx="10">
                  <c:v>61</c:v>
                </c:pt>
                <c:pt idx="11">
                  <c:v>62</c:v>
                </c:pt>
                <c:pt idx="12">
                  <c:v>63</c:v>
                </c:pt>
                <c:pt idx="13">
                  <c:v>64</c:v>
                </c:pt>
                <c:pt idx="14">
                  <c:v>65</c:v>
                </c:pt>
                <c:pt idx="15">
                  <c:v>66</c:v>
                </c:pt>
                <c:pt idx="16">
                  <c:v>67</c:v>
                </c:pt>
                <c:pt idx="17">
                  <c:v>68</c:v>
                </c:pt>
                <c:pt idx="18">
                  <c:v>69</c:v>
                </c:pt>
                <c:pt idx="19">
                  <c:v>70</c:v>
                </c:pt>
                <c:pt idx="20">
                  <c:v>71</c:v>
                </c:pt>
                <c:pt idx="21">
                  <c:v>72</c:v>
                </c:pt>
                <c:pt idx="22">
                  <c:v>73</c:v>
                </c:pt>
                <c:pt idx="23">
                  <c:v>74</c:v>
                </c:pt>
                <c:pt idx="24">
                  <c:v>75</c:v>
                </c:pt>
                <c:pt idx="25">
                  <c:v>76</c:v>
                </c:pt>
                <c:pt idx="26">
                  <c:v>77</c:v>
                </c:pt>
                <c:pt idx="27">
                  <c:v>78</c:v>
                </c:pt>
                <c:pt idx="28">
                  <c:v>79</c:v>
                </c:pt>
                <c:pt idx="29">
                  <c:v>80</c:v>
                </c:pt>
                <c:pt idx="30">
                  <c:v>81</c:v>
                </c:pt>
                <c:pt idx="31">
                  <c:v>82</c:v>
                </c:pt>
                <c:pt idx="32">
                  <c:v>83</c:v>
                </c:pt>
                <c:pt idx="33">
                  <c:v>84</c:v>
                </c:pt>
                <c:pt idx="34">
                  <c:v>85</c:v>
                </c:pt>
                <c:pt idx="35">
                  <c:v>86</c:v>
                </c:pt>
                <c:pt idx="36">
                  <c:v>87</c:v>
                </c:pt>
                <c:pt idx="37">
                  <c:v>88</c:v>
                </c:pt>
                <c:pt idx="38">
                  <c:v>89</c:v>
                </c:pt>
                <c:pt idx="39">
                  <c:v>90</c:v>
                </c:pt>
                <c:pt idx="40">
                  <c:v>91</c:v>
                </c:pt>
                <c:pt idx="41">
                  <c:v>92</c:v>
                </c:pt>
                <c:pt idx="42">
                  <c:v>93</c:v>
                </c:pt>
                <c:pt idx="43">
                  <c:v>94</c:v>
                </c:pt>
                <c:pt idx="44">
                  <c:v>95</c:v>
                </c:pt>
                <c:pt idx="45">
                  <c:v>96</c:v>
                </c:pt>
                <c:pt idx="46">
                  <c:v>97</c:v>
                </c:pt>
                <c:pt idx="47">
                  <c:v>98</c:v>
                </c:pt>
                <c:pt idx="48">
                  <c:v>99</c:v>
                </c:pt>
                <c:pt idx="49">
                  <c:v>100</c:v>
                </c:pt>
                <c:pt idx="50">
                  <c:v>101</c:v>
                </c:pt>
                <c:pt idx="51">
                  <c:v>102</c:v>
                </c:pt>
                <c:pt idx="52">
                  <c:v>103</c:v>
                </c:pt>
                <c:pt idx="53">
                  <c:v>104</c:v>
                </c:pt>
                <c:pt idx="54">
                  <c:v>105</c:v>
                </c:pt>
                <c:pt idx="55">
                  <c:v>106</c:v>
                </c:pt>
                <c:pt idx="56">
                  <c:v>107</c:v>
                </c:pt>
                <c:pt idx="57">
                  <c:v>108</c:v>
                </c:pt>
                <c:pt idx="58">
                  <c:v>109</c:v>
                </c:pt>
                <c:pt idx="59">
                  <c:v>110</c:v>
                </c:pt>
                <c:pt idx="60">
                  <c:v>111</c:v>
                </c:pt>
                <c:pt idx="61">
                  <c:v>112</c:v>
                </c:pt>
                <c:pt idx="62">
                  <c:v>113</c:v>
                </c:pt>
                <c:pt idx="63">
                  <c:v>114</c:v>
                </c:pt>
                <c:pt idx="64">
                  <c:v>115</c:v>
                </c:pt>
                <c:pt idx="65">
                  <c:v>116</c:v>
                </c:pt>
                <c:pt idx="66">
                  <c:v>117</c:v>
                </c:pt>
                <c:pt idx="67">
                  <c:v>118</c:v>
                </c:pt>
                <c:pt idx="68">
                  <c:v>119</c:v>
                </c:pt>
                <c:pt idx="69">
                  <c:v>120</c:v>
                </c:pt>
                <c:pt idx="70">
                  <c:v>121</c:v>
                </c:pt>
                <c:pt idx="71">
                  <c:v>122</c:v>
                </c:pt>
                <c:pt idx="72">
                  <c:v>123</c:v>
                </c:pt>
                <c:pt idx="73">
                  <c:v>124</c:v>
                </c:pt>
                <c:pt idx="74">
                  <c:v>125</c:v>
                </c:pt>
                <c:pt idx="75">
                  <c:v>126</c:v>
                </c:pt>
                <c:pt idx="76">
                  <c:v>127</c:v>
                </c:pt>
                <c:pt idx="77">
                  <c:v>128</c:v>
                </c:pt>
                <c:pt idx="78">
                  <c:v>129</c:v>
                </c:pt>
                <c:pt idx="79">
                  <c:v>130</c:v>
                </c:pt>
                <c:pt idx="80">
                  <c:v>131</c:v>
                </c:pt>
                <c:pt idx="81">
                  <c:v>132</c:v>
                </c:pt>
                <c:pt idx="82">
                  <c:v>133</c:v>
                </c:pt>
                <c:pt idx="83">
                  <c:v>134</c:v>
                </c:pt>
                <c:pt idx="84">
                  <c:v>135</c:v>
                </c:pt>
                <c:pt idx="85">
                  <c:v>136</c:v>
                </c:pt>
                <c:pt idx="86">
                  <c:v>137</c:v>
                </c:pt>
                <c:pt idx="87">
                  <c:v>138</c:v>
                </c:pt>
                <c:pt idx="88">
                  <c:v>139</c:v>
                </c:pt>
                <c:pt idx="89">
                  <c:v>140</c:v>
                </c:pt>
                <c:pt idx="90">
                  <c:v>141</c:v>
                </c:pt>
                <c:pt idx="91">
                  <c:v>142</c:v>
                </c:pt>
                <c:pt idx="92">
                  <c:v>143</c:v>
                </c:pt>
                <c:pt idx="93">
                  <c:v>144</c:v>
                </c:pt>
                <c:pt idx="94">
                  <c:v>145</c:v>
                </c:pt>
                <c:pt idx="95">
                  <c:v>146</c:v>
                </c:pt>
                <c:pt idx="96">
                  <c:v>147</c:v>
                </c:pt>
                <c:pt idx="97">
                  <c:v>148</c:v>
                </c:pt>
                <c:pt idx="98">
                  <c:v>149</c:v>
                </c:pt>
                <c:pt idx="99">
                  <c:v>150</c:v>
                </c:pt>
              </c:numCache>
            </c:numRef>
          </c:xVal>
          <c:yVal>
            <c:numRef>
              <c:f>SVI!$H$2:$H$101</c:f>
              <c:numCache>
                <c:formatCode>0.000</c:formatCode>
                <c:ptCount val="100"/>
                <c:pt idx="0">
                  <c:v>0.41394272740207289</c:v>
                </c:pt>
                <c:pt idx="1">
                  <c:v>0.4092911029760955</c:v>
                </c:pt>
                <c:pt idx="2">
                  <c:v>0.40467757698357659</c:v>
                </c:pt>
                <c:pt idx="3">
                  <c:v>0.40010007603591996</c:v>
                </c:pt>
                <c:pt idx="4">
                  <c:v>0.39555661380864365</c:v>
                </c:pt>
                <c:pt idx="5">
                  <c:v>0.39104528416218692</c:v>
                </c:pt>
                <c:pt idx="6">
                  <c:v>0.38656425483352325</c:v>
                </c:pt>
                <c:pt idx="7">
                  <c:v>0.38211176164100402</c:v>
                </c:pt>
                <c:pt idx="8">
                  <c:v>0.37768610315205536</c:v>
                </c:pt>
                <c:pt idx="9">
                  <c:v>0.37328563576966184</c:v>
                </c:pt>
                <c:pt idx="10">
                  <c:v>0.36890876919917648</c:v>
                </c:pt>
                <c:pt idx="11">
                  <c:v>0.36455396226199066</c:v>
                </c:pt>
                <c:pt idx="12">
                  <c:v>0.36021971902711053</c:v>
                </c:pt>
                <c:pt idx="13">
                  <c:v>0.35590458523579849</c:v>
                </c:pt>
                <c:pt idx="14">
                  <c:v>0.35160714499825124</c:v>
                </c:pt>
                <c:pt idx="15">
                  <c:v>0.34732601774486876</c:v>
                </c:pt>
                <c:pt idx="16">
                  <c:v>0.34305985541810202</c:v>
                </c:pt>
                <c:pt idx="17">
                  <c:v>0.33880733989423173</c:v>
                </c:pt>
                <c:pt idx="18">
                  <c:v>0.33456718062779128</c:v>
                </c:pt>
                <c:pt idx="19">
                  <c:v>0.33033811251478995</c:v>
                </c:pt>
                <c:pt idx="20">
                  <c:v>0.32611889397450361</c:v>
                </c:pt>
                <c:pt idx="21">
                  <c:v>0.32190830525346281</c:v>
                </c:pt>
                <c:pt idx="22">
                  <c:v>0.31770514695949359</c:v>
                </c:pt>
                <c:pt idx="23">
                  <c:v>0.31350823883837775</c:v>
                </c:pt>
                <c:pt idx="24">
                  <c:v>0.30931641881101957</c:v>
                </c:pt>
                <c:pt idx="25">
                  <c:v>0.30512854229511771</c:v>
                </c:pt>
                <c:pt idx="26">
                  <c:v>0.30094348184242331</c:v>
                </c:pt>
                <c:pt idx="27">
                  <c:v>0.2967601271309569</c:v>
                </c:pt>
                <c:pt idx="28">
                  <c:v>0.29257738536133737</c:v>
                </c:pt>
                <c:pt idx="29">
                  <c:v>0.28839418211797452</c:v>
                </c:pt>
                <c:pt idx="30">
                  <c:v>0.28420946276971132</c:v>
                </c:pt>
                <c:pt idx="31">
                  <c:v>0.28002219450105509</c:v>
                </c:pt>
                <c:pt idx="32">
                  <c:v>0.27583136908501099</c:v>
                </c:pt>
                <c:pt idx="33">
                  <c:v>0.27163600653244829</c:v>
                </c:pt>
                <c:pt idx="34">
                  <c:v>0.26743515978176535</c:v>
                </c:pt>
                <c:pt idx="35">
                  <c:v>0.26322792062741812</c:v>
                </c:pt>
                <c:pt idx="36">
                  <c:v>0.25901342712791903</c:v>
                </c:pt>
                <c:pt idx="37">
                  <c:v>0.25479087278467866</c:v>
                </c:pt>
                <c:pt idx="38">
                  <c:v>0.25055951784435532</c:v>
                </c:pt>
                <c:pt idx="39">
                  <c:v>0.24631870315124385</c:v>
                </c:pt>
                <c:pt idx="40">
                  <c:v>0.2420678670650577</c:v>
                </c:pt>
                <c:pt idx="41">
                  <c:v>0.23780656606586076</c:v>
                </c:pt>
                <c:pt idx="42">
                  <c:v>0.23353449979469626</c:v>
                </c:pt>
                <c:pt idx="43">
                  <c:v>0.22925154142841753</c:v>
                </c:pt>
                <c:pt idx="44">
                  <c:v>0.2249577744627361</c:v>
                </c:pt>
                <c:pt idx="45">
                  <c:v>0.22065353717991612</c:v>
                </c:pt>
                <c:pt idx="46">
                  <c:v>0.21633947630611869</c:v>
                </c:pt>
                <c:pt idx="47">
                  <c:v>0.21201661161358426</c:v>
                </c:pt>
                <c:pt idx="48">
                  <c:v>0.20768641348363906</c:v>
                </c:pt>
                <c:pt idx="49">
                  <c:v>0.20335089569643672</c:v>
                </c:pt>
                <c:pt idx="50">
                  <c:v>0.19901272591452776</c:v>
                </c:pt>
                <c:pt idx="51">
                  <c:v>0.19467535641711756</c:v>
                </c:pt>
                <c:pt idx="52">
                  <c:v>0.19034317752138696</c:v>
                </c:pt>
                <c:pt idx="53">
                  <c:v>0.18602169564704588</c:v>
                </c:pt>
                <c:pt idx="54">
                  <c:v>0.18171773692395651</c:v>
                </c:pt>
                <c:pt idx="55">
                  <c:v>0.17743967531211297</c:v>
                </c:pt>
                <c:pt idx="56">
                  <c:v>0.17319768101406574</c:v>
                </c:pt>
                <c:pt idx="57">
                  <c:v>0.16900398006253517</c:v>
                </c:pt>
                <c:pt idx="58">
                  <c:v>0.16487310891995424</c:v>
                </c:pt>
                <c:pt idx="59">
                  <c:v>0.16082213846596338</c:v>
                </c:pt>
                <c:pt idx="60">
                  <c:v>0.1568708300808605</c:v>
                </c:pt>
                <c:pt idx="61">
                  <c:v>0.15304167379186159</c:v>
                </c:pt>
                <c:pt idx="62">
                  <c:v>0.14935974724529261</c:v>
                </c:pt>
                <c:pt idx="63">
                  <c:v>0.14585232911333557</c:v>
                </c:pt>
                <c:pt idx="64">
                  <c:v>0.14254820769385271</c:v>
                </c:pt>
                <c:pt idx="65">
                  <c:v>0.13947665153394911</c:v>
                </c:pt>
                <c:pt idx="66">
                  <c:v>0.1366660578154498</c:v>
                </c:pt>
                <c:pt idx="67">
                  <c:v>0.13414236287715298</c:v>
                </c:pt>
                <c:pt idx="68">
                  <c:v>0.13192737399006943</c:v>
                </c:pt>
                <c:pt idx="69">
                  <c:v>0.13003723893427283</c:v>
                </c:pt>
                <c:pt idx="70">
                  <c:v>0.12848128436562375</c:v>
                </c:pt>
                <c:pt idx="71">
                  <c:v>0.12726141013438116</c:v>
                </c:pt>
                <c:pt idx="72">
                  <c:v>0.12637213060442784</c:v>
                </c:pt>
                <c:pt idx="73">
                  <c:v>0.12580123351675279</c:v>
                </c:pt>
                <c:pt idx="74">
                  <c:v>0.12553091993738688</c:v>
                </c:pt>
                <c:pt idx="75">
                  <c:v>0.12553922560382683</c:v>
                </c:pt>
                <c:pt idx="76">
                  <c:v>0.12580151498955403</c:v>
                </c:pt>
                <c:pt idx="77">
                  <c:v>0.12629187487138779</c:v>
                </c:pt>
                <c:pt idx="78">
                  <c:v>0.12698429313629792</c:v>
                </c:pt>
                <c:pt idx="79">
                  <c:v>0.12785356990672064</c:v>
                </c:pt>
                <c:pt idx="80">
                  <c:v>0.12887595768093396</c:v>
                </c:pt>
                <c:pt idx="81">
                  <c:v>0.1300295595204479</c:v>
                </c:pt>
                <c:pt idx="82">
                  <c:v>0.13129453024784699</c:v>
                </c:pt>
                <c:pt idx="83">
                  <c:v>0.13265312924776401</c:v>
                </c:pt>
                <c:pt idx="84">
                  <c:v>0.13408966952868323</c:v>
                </c:pt>
                <c:pt idx="85">
                  <c:v>0.13559040015022242</c:v>
                </c:pt>
                <c:pt idx="86">
                  <c:v>0.13714335064297334</c:v>
                </c:pt>
                <c:pt idx="87">
                  <c:v>0.13873815818329216</c:v>
                </c:pt>
                <c:pt idx="88">
                  <c:v>0.14036589172373717</c:v>
                </c:pt>
                <c:pt idx="89">
                  <c:v>0.14201888218413294</c:v>
                </c:pt>
                <c:pt idx="90">
                  <c:v>0.14369056406297867</c:v>
                </c:pt>
                <c:pt idx="91">
                  <c:v>0.14537533120352761</c:v>
                </c:pt>
                <c:pt idx="92">
                  <c:v>0.14706840769118862</c:v>
                </c:pt>
                <c:pt idx="93">
                  <c:v>0.14876573374098317</c:v>
                </c:pt>
                <c:pt idx="94">
                  <c:v>0.15046386576893148</c:v>
                </c:pt>
                <c:pt idx="95">
                  <c:v>0.15215988948579048</c:v>
                </c:pt>
                <c:pt idx="96">
                  <c:v>0.1538513446998119</c:v>
                </c:pt>
                <c:pt idx="97">
                  <c:v>0.15553616049201602</c:v>
                </c:pt>
                <c:pt idx="98">
                  <c:v>0.15721259948108249</c:v>
                </c:pt>
                <c:pt idx="99">
                  <c:v>0.15887920999061766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632247520"/>
        <c:axId val="-1632232832"/>
      </c:scatterChart>
      <c:valAx>
        <c:axId val="-1632247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32232832"/>
        <c:crosses val="autoZero"/>
        <c:crossBetween val="midCat"/>
      </c:valAx>
      <c:valAx>
        <c:axId val="-1632232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632247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219074</xdr:colOff>
      <xdr:row>1</xdr:row>
      <xdr:rowOff>176212</xdr:rowOff>
    </xdr:from>
    <xdr:to>
      <xdr:col>24</xdr:col>
      <xdr:colOff>514349</xdr:colOff>
      <xdr:row>33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01"/>
  <sheetViews>
    <sheetView tabSelected="1" workbookViewId="0">
      <selection activeCell="C16" sqref="C16"/>
    </sheetView>
  </sheetViews>
  <sheetFormatPr defaultRowHeight="15" x14ac:dyDescent="0.25"/>
  <sheetData>
    <row r="1" spans="2:9" x14ac:dyDescent="0.25">
      <c r="D1" t="s">
        <v>5</v>
      </c>
      <c r="E1" s="1" t="s">
        <v>0</v>
      </c>
      <c r="F1" s="1" t="s">
        <v>15</v>
      </c>
      <c r="G1" s="4" t="s">
        <v>4</v>
      </c>
      <c r="H1" s="1" t="s">
        <v>10</v>
      </c>
      <c r="I1" s="1"/>
    </row>
    <row r="2" spans="2:9" x14ac:dyDescent="0.25">
      <c r="B2" s="10" t="s">
        <v>1</v>
      </c>
      <c r="C2" s="3">
        <v>1</v>
      </c>
      <c r="D2" s="1" t="str">
        <f>IF(E2&lt;$C$5,"p","c")</f>
        <v>p</v>
      </c>
      <c r="E2" s="1">
        <v>51</v>
      </c>
      <c r="F2" s="1">
        <f>LN(E2/$C$6)</f>
        <v>-0.65826556103004286</v>
      </c>
      <c r="G2" s="8">
        <f>splint(Data!$C$5:$C$15,Data!$I$5:$I$15,Data!$E$15,E2)</f>
        <v>0.35839177701494329</v>
      </c>
      <c r="H2" s="9">
        <f>SQRT(($C$14+$C$15*($C$16*(F2-$C$17)+SQRT((F2-$C$17)^2+$C$18^2)))/$C$2)</f>
        <v>0.41394272740207289</v>
      </c>
      <c r="I2">
        <f t="shared" ref="I2:I35" si="0">(G2-H2)^2</f>
        <v>3.0859080889133338E-3</v>
      </c>
    </row>
    <row r="3" spans="2:9" x14ac:dyDescent="0.25">
      <c r="B3" s="11" t="s">
        <v>2</v>
      </c>
      <c r="C3" s="8">
        <v>3.8210077662771689E-3</v>
      </c>
      <c r="D3" s="1" t="str">
        <f t="shared" ref="D3:D66" si="1">IF(E3&lt;$C$5,"p","c")</f>
        <v>p</v>
      </c>
      <c r="E3" s="1">
        <f>E2+1</f>
        <v>52</v>
      </c>
      <c r="F3" s="1">
        <f t="shared" ref="F3:F66" si="2">LN(E3/$C$6)</f>
        <v>-0.63884747517294127</v>
      </c>
      <c r="G3" s="8">
        <f>splint(Data!$C$5:$C$15,Data!$I$5:$I$15,Data!$E$15,E3)</f>
        <v>0.35658730165313174</v>
      </c>
      <c r="H3" s="9">
        <f t="shared" ref="H3:H66" si="3">SQRT(($C$14+$C$15*($C$16*(F3-$C$17)+SQRT((F3-$C$17)^2+$C$18^2)))/$C$2)</f>
        <v>0.4092911029760955</v>
      </c>
      <c r="I3">
        <f t="shared" si="0"/>
        <v>2.7776906738904367E-3</v>
      </c>
    </row>
    <row r="4" spans="2:9" x14ac:dyDescent="0.25">
      <c r="B4" s="11" t="s">
        <v>3</v>
      </c>
      <c r="C4" s="8">
        <v>1.89E-2</v>
      </c>
      <c r="D4" s="1" t="str">
        <f t="shared" si="1"/>
        <v>p</v>
      </c>
      <c r="E4" s="1">
        <f t="shared" ref="E4:E67" si="4">E3+1</f>
        <v>53</v>
      </c>
      <c r="F4" s="1">
        <f t="shared" si="2"/>
        <v>-0.61979928020224684</v>
      </c>
      <c r="G4" s="8">
        <f>splint(Data!$C$5:$C$15,Data!$I$5:$I$15,Data!$E$15,E4)</f>
        <v>0.35379049930460316</v>
      </c>
      <c r="H4" s="9">
        <f t="shared" si="3"/>
        <v>0.40467757698357659</v>
      </c>
      <c r="I4">
        <f t="shared" si="0"/>
        <v>2.5894946747058766E-3</v>
      </c>
    </row>
    <row r="5" spans="2:9" ht="18" x14ac:dyDescent="0.35">
      <c r="B5" s="11" t="s">
        <v>6</v>
      </c>
      <c r="C5" s="2">
        <v>100</v>
      </c>
      <c r="D5" s="1" t="str">
        <f t="shared" si="1"/>
        <v>p</v>
      </c>
      <c r="E5" s="1">
        <f t="shared" si="4"/>
        <v>54</v>
      </c>
      <c r="F5" s="1">
        <f t="shared" si="2"/>
        <v>-0.60110714719009417</v>
      </c>
      <c r="G5" s="8">
        <f>splint(Data!$C$5:$C$15,Data!$I$5:$I$15,Data!$E$15,E5)</f>
        <v>0.35017372535939517</v>
      </c>
      <c r="H5" s="9">
        <f t="shared" si="3"/>
        <v>0.40010007603591996</v>
      </c>
      <c r="I5">
        <f t="shared" si="0"/>
        <v>2.4926404918753273E-3</v>
      </c>
    </row>
    <row r="6" spans="2:9" x14ac:dyDescent="0.25">
      <c r="B6" s="11" t="s">
        <v>16</v>
      </c>
      <c r="C6" s="2">
        <f>C5*EXP((C3-C4)*C2)</f>
        <v>98.503412648384298</v>
      </c>
      <c r="D6" s="1" t="str">
        <f t="shared" si="1"/>
        <v>p</v>
      </c>
      <c r="E6" s="1">
        <f t="shared" si="4"/>
        <v>55</v>
      </c>
      <c r="F6" s="1">
        <f t="shared" si="2"/>
        <v>-0.58275800852189774</v>
      </c>
      <c r="G6" s="8">
        <f>splint(Data!$C$5:$C$15,Data!$I$5:$I$15,Data!$E$15,E6)</f>
        <v>0.3459093352075458</v>
      </c>
      <c r="H6" s="9">
        <f t="shared" si="3"/>
        <v>0.39555661380864365</v>
      </c>
      <c r="I6">
        <f t="shared" si="0"/>
        <v>2.4648522724950292E-3</v>
      </c>
    </row>
    <row r="7" spans="2:9" x14ac:dyDescent="0.25">
      <c r="B7" s="10"/>
      <c r="D7" s="1" t="str">
        <f t="shared" si="1"/>
        <v>p</v>
      </c>
      <c r="E7" s="1">
        <f t="shared" si="4"/>
        <v>56</v>
      </c>
      <c r="F7" s="1">
        <f t="shared" si="2"/>
        <v>-0.56473950301921938</v>
      </c>
      <c r="G7" s="8">
        <f>splint(Data!$C$5:$C$15,Data!$I$5:$I$15,Data!$E$15,E7)</f>
        <v>0.34116968423909277</v>
      </c>
      <c r="H7" s="9">
        <f t="shared" si="3"/>
        <v>0.39104528416218692</v>
      </c>
      <c r="I7">
        <f t="shared" si="0"/>
        <v>2.487575467688549E-3</v>
      </c>
    </row>
    <row r="8" spans="2:9" x14ac:dyDescent="0.25">
      <c r="B8" s="11"/>
      <c r="D8" s="1" t="str">
        <f t="shared" si="1"/>
        <v>p</v>
      </c>
      <c r="E8" s="1">
        <f t="shared" si="4"/>
        <v>57</v>
      </c>
      <c r="F8" s="1">
        <f t="shared" si="2"/>
        <v>-0.54703992591981854</v>
      </c>
      <c r="G8" s="8">
        <f>splint(Data!$C$5:$C$15,Data!$I$5:$I$15,Data!$E$15,E8)</f>
        <v>0.33612712784407384</v>
      </c>
      <c r="H8" s="9">
        <f t="shared" si="3"/>
        <v>0.38656425483352325</v>
      </c>
      <c r="I8">
        <f t="shared" si="0"/>
        <v>2.5439037789498462E-3</v>
      </c>
    </row>
    <row r="9" spans="2:9" x14ac:dyDescent="0.25">
      <c r="B9" s="11"/>
      <c r="D9" s="1" t="str">
        <f t="shared" si="1"/>
        <v>p</v>
      </c>
      <c r="E9" s="1">
        <f t="shared" si="4"/>
        <v>58</v>
      </c>
      <c r="F9" s="1">
        <f t="shared" si="2"/>
        <v>-0.52964818320794926</v>
      </c>
      <c r="G9" s="8">
        <f>splint(Data!$C$5:$C$15,Data!$I$5:$I$15,Data!$E$15,E9)</f>
        <v>0.330954021412527</v>
      </c>
      <c r="H9" s="9">
        <f t="shared" si="3"/>
        <v>0.38211176164100402</v>
      </c>
      <c r="I9">
        <f t="shared" si="0"/>
        <v>2.6171143852843364E-3</v>
      </c>
    </row>
    <row r="10" spans="2:9" x14ac:dyDescent="0.25">
      <c r="B10" s="10"/>
      <c r="D10" s="1" t="str">
        <f t="shared" si="1"/>
        <v>p</v>
      </c>
      <c r="E10" s="1">
        <f t="shared" si="4"/>
        <v>59</v>
      </c>
      <c r="F10" s="1">
        <f t="shared" si="2"/>
        <v>-0.5125537498486491</v>
      </c>
      <c r="G10" s="8">
        <f>splint(Data!$C$5:$C$15,Data!$I$5:$I$15,Data!$E$15,E10)</f>
        <v>0.32582272033448972</v>
      </c>
      <c r="H10" s="9">
        <f t="shared" si="3"/>
        <v>0.37768610315205536</v>
      </c>
      <c r="I10">
        <f t="shared" si="0"/>
        <v>2.6898104772813628E-3</v>
      </c>
    </row>
    <row r="11" spans="2:9" x14ac:dyDescent="0.25">
      <c r="B11" s="11" t="s">
        <v>7</v>
      </c>
      <c r="C11">
        <f>SUM(I2:I101)</f>
        <v>9.4187607359490305E-2</v>
      </c>
      <c r="D11" s="1" t="str">
        <f t="shared" si="1"/>
        <v>p</v>
      </c>
      <c r="E11" s="1">
        <f t="shared" si="4"/>
        <v>60</v>
      </c>
      <c r="F11" s="1">
        <f t="shared" si="2"/>
        <v>-0.49574663153226795</v>
      </c>
      <c r="G11" s="8">
        <f>splint(Data!$C$5:$C$15,Data!$I$5:$I$15,Data!$E$15,E11)</f>
        <v>0.32090558000000002</v>
      </c>
      <c r="H11" s="9">
        <f t="shared" si="3"/>
        <v>0.37328563576966184</v>
      </c>
      <c r="I11">
        <f t="shared" si="0"/>
        <v>2.7436702424328821E-3</v>
      </c>
    </row>
    <row r="12" spans="2:9" x14ac:dyDescent="0.25">
      <c r="D12" s="1" t="str">
        <f t="shared" si="1"/>
        <v>p</v>
      </c>
      <c r="E12" s="1">
        <f t="shared" si="4"/>
        <v>61</v>
      </c>
      <c r="F12" s="1">
        <f t="shared" si="2"/>
        <v>-0.47921732958105745</v>
      </c>
      <c r="G12" s="8">
        <f>splint(Data!$C$5:$C$15,Data!$I$5:$I$15,Data!$E$15,E12)</f>
        <v>0.31633826508573715</v>
      </c>
      <c r="H12" s="9">
        <f t="shared" si="3"/>
        <v>0.36890876919917648</v>
      </c>
      <c r="I12">
        <f t="shared" si="0"/>
        <v>2.7636579027411415E-3</v>
      </c>
    </row>
    <row r="13" spans="2:9" x14ac:dyDescent="0.25">
      <c r="B13" s="11" t="s">
        <v>11</v>
      </c>
      <c r="D13" s="1" t="str">
        <f t="shared" si="1"/>
        <v>p</v>
      </c>
      <c r="E13" s="1">
        <f t="shared" si="4"/>
        <v>62</v>
      </c>
      <c r="F13" s="1">
        <f t="shared" si="2"/>
        <v>-0.46295680870927697</v>
      </c>
      <c r="G13" s="8">
        <f>splint(Data!$C$5:$C$15,Data!$I$5:$I$15,Data!$E$15,E13)</f>
        <v>0.31210967741494627</v>
      </c>
      <c r="H13" s="9">
        <f t="shared" si="3"/>
        <v>0.36455396226199066</v>
      </c>
      <c r="I13">
        <f t="shared" si="0"/>
        <v>2.7504030131179293E-3</v>
      </c>
    </row>
    <row r="14" spans="2:9" x14ac:dyDescent="0.25">
      <c r="B14" s="11" t="s">
        <v>12</v>
      </c>
      <c r="C14">
        <v>0</v>
      </c>
      <c r="D14" s="1" t="str">
        <f t="shared" si="1"/>
        <v>p</v>
      </c>
      <c r="E14" s="1">
        <f t="shared" si="4"/>
        <v>63</v>
      </c>
      <c r="F14" s="1">
        <f t="shared" si="2"/>
        <v>-0.4469564673628359</v>
      </c>
      <c r="G14" s="8">
        <f>splint(Data!$C$5:$C$15,Data!$I$5:$I$15,Data!$E$15,E14)</f>
        <v>0.30817202809751382</v>
      </c>
      <c r="H14" s="9">
        <f t="shared" si="3"/>
        <v>0.36021971902711053</v>
      </c>
      <c r="I14">
        <f t="shared" si="0"/>
        <v>2.708962131102824E-3</v>
      </c>
    </row>
    <row r="15" spans="2:9" x14ac:dyDescent="0.25">
      <c r="B15" s="11" t="s">
        <v>13</v>
      </c>
      <c r="C15">
        <v>0.14705647271084329</v>
      </c>
      <c r="D15" s="1" t="str">
        <f t="shared" si="1"/>
        <v>p</v>
      </c>
      <c r="E15" s="1">
        <f t="shared" si="4"/>
        <v>64</v>
      </c>
      <c r="F15" s="1">
        <f t="shared" si="2"/>
        <v>-0.43120811039469675</v>
      </c>
      <c r="G15" s="8">
        <f>splint(Data!$C$5:$C$15,Data!$I$5:$I$15,Data!$E$15,E15)</f>
        <v>0.30447752824332658</v>
      </c>
      <c r="H15" s="9">
        <f t="shared" si="3"/>
        <v>0.35590458523579849</v>
      </c>
      <c r="I15">
        <f t="shared" si="0"/>
        <v>2.6447421909069537E-3</v>
      </c>
    </row>
    <row r="16" spans="2:9" x14ac:dyDescent="0.25">
      <c r="B16" s="11" t="s">
        <v>2</v>
      </c>
      <c r="C16">
        <v>-0.35</v>
      </c>
      <c r="D16" s="1" t="str">
        <f t="shared" si="1"/>
        <v>p</v>
      </c>
      <c r="E16" s="1">
        <f t="shared" si="4"/>
        <v>65</v>
      </c>
      <c r="F16" s="1">
        <f t="shared" si="2"/>
        <v>-0.41570392385873156</v>
      </c>
      <c r="G16" s="8">
        <f>splint(Data!$C$5:$C$15,Data!$I$5:$I$15,Data!$E$15,E16)</f>
        <v>0.30097838896227103</v>
      </c>
      <c r="H16" s="9">
        <f t="shared" si="3"/>
        <v>0.35160714499825124</v>
      </c>
      <c r="I16">
        <f t="shared" si="0"/>
        <v>2.5632709377508031E-3</v>
      </c>
    </row>
    <row r="17" spans="2:9" x14ac:dyDescent="0.25">
      <c r="B17" s="11" t="s">
        <v>14</v>
      </c>
      <c r="C17">
        <v>0.19921558937739076</v>
      </c>
      <c r="D17" s="1" t="str">
        <f t="shared" si="1"/>
        <v>p</v>
      </c>
      <c r="E17" s="1">
        <f t="shared" si="4"/>
        <v>66</v>
      </c>
      <c r="F17" s="1">
        <f t="shared" si="2"/>
        <v>-0.40043645172794318</v>
      </c>
      <c r="G17" s="8">
        <f>splint(Data!$C$5:$C$15,Data!$I$5:$I$15,Data!$E$15,E17)</f>
        <v>0.2976268213642338</v>
      </c>
      <c r="H17" s="9">
        <f t="shared" si="3"/>
        <v>0.34732601774486876</v>
      </c>
      <c r="I17">
        <f t="shared" si="0"/>
        <v>2.4700101208809202E-3</v>
      </c>
    </row>
    <row r="18" spans="2:9" x14ac:dyDescent="0.25">
      <c r="B18" s="11" t="s">
        <v>4</v>
      </c>
      <c r="C18">
        <v>0.11433801651172054</v>
      </c>
      <c r="D18" s="1" t="str">
        <f t="shared" si="1"/>
        <v>p</v>
      </c>
      <c r="E18" s="1">
        <f t="shared" si="4"/>
        <v>67</v>
      </c>
      <c r="F18" s="1">
        <f t="shared" si="2"/>
        <v>-0.38539857436340252</v>
      </c>
      <c r="G18" s="8">
        <f>splint(Data!$C$5:$C$15,Data!$I$5:$I$15,Data!$E$15,E18)</f>
        <v>0.29437503655910147</v>
      </c>
      <c r="H18" s="9">
        <f t="shared" si="3"/>
        <v>0.34305985541810202</v>
      </c>
      <c r="I18">
        <f t="shared" si="0"/>
        <v>2.3702115873336961E-3</v>
      </c>
    </row>
    <row r="19" spans="2:9" x14ac:dyDescent="0.25">
      <c r="D19" s="1" t="str">
        <f t="shared" si="1"/>
        <v>p</v>
      </c>
      <c r="E19" s="1">
        <f t="shared" si="4"/>
        <v>68</v>
      </c>
      <c r="F19" s="1">
        <f t="shared" si="2"/>
        <v>-0.3705834885782619</v>
      </c>
      <c r="G19" s="8">
        <f>splint(Data!$C$5:$C$15,Data!$I$5:$I$15,Data!$E$15,E19)</f>
        <v>0.29117524565676067</v>
      </c>
      <c r="H19" s="9">
        <f t="shared" si="3"/>
        <v>0.33880733989423173</v>
      </c>
      <c r="I19">
        <f t="shared" si="0"/>
        <v>2.2688164014473236E-3</v>
      </c>
    </row>
    <row r="20" spans="2:9" x14ac:dyDescent="0.25">
      <c r="D20" s="1" t="str">
        <f t="shared" si="1"/>
        <v>p</v>
      </c>
      <c r="E20" s="1">
        <f t="shared" si="4"/>
        <v>69</v>
      </c>
      <c r="F20" s="1">
        <f t="shared" si="2"/>
        <v>-0.35598468915710929</v>
      </c>
      <c r="G20" s="8">
        <f>splint(Data!$C$5:$C$15,Data!$I$5:$I$15,Data!$E$15,E20)</f>
        <v>0.287979659767098</v>
      </c>
      <c r="H20" s="9">
        <f t="shared" si="3"/>
        <v>0.33456718062779128</v>
      </c>
      <c r="I20">
        <f t="shared" si="0"/>
        <v>2.1703970999455324E-3</v>
      </c>
    </row>
    <row r="21" spans="2:9" x14ac:dyDescent="0.25">
      <c r="D21" s="1" t="str">
        <f t="shared" si="1"/>
        <v>p</v>
      </c>
      <c r="E21" s="1">
        <f t="shared" si="4"/>
        <v>70</v>
      </c>
      <c r="F21" s="1">
        <f t="shared" si="2"/>
        <v>-0.34159595170500973</v>
      </c>
      <c r="G21" s="8">
        <f>splint(Data!$C$5:$C$15,Data!$I$5:$I$15,Data!$E$15,E21)</f>
        <v>0.28474049000000001</v>
      </c>
      <c r="H21" s="9">
        <f t="shared" si="3"/>
        <v>0.33033811251478995</v>
      </c>
      <c r="I21">
        <f t="shared" si="0"/>
        <v>2.0791431790012781E-3</v>
      </c>
    </row>
    <row r="22" spans="2:9" x14ac:dyDescent="0.25">
      <c r="D22" s="1" t="str">
        <f t="shared" si="1"/>
        <v>p</v>
      </c>
      <c r="E22" s="1">
        <f t="shared" si="4"/>
        <v>71</v>
      </c>
      <c r="F22" s="1">
        <f t="shared" si="2"/>
        <v>-0.32741131671305312</v>
      </c>
      <c r="G22" s="8">
        <f>splint(Data!$C$5:$C$15,Data!$I$5:$I$15,Data!$E$15,E22)</f>
        <v>0.2814198442621082</v>
      </c>
      <c r="H22" s="9">
        <f t="shared" si="3"/>
        <v>0.32611889397450361</v>
      </c>
      <c r="I22">
        <f t="shared" si="0"/>
        <v>1.9980050451911965E-3</v>
      </c>
    </row>
    <row r="23" spans="2:9" x14ac:dyDescent="0.25">
      <c r="D23" s="1" t="str">
        <f t="shared" si="1"/>
        <v>p</v>
      </c>
      <c r="E23" s="1">
        <f t="shared" si="4"/>
        <v>72</v>
      </c>
      <c r="F23" s="1">
        <f t="shared" si="2"/>
        <v>-0.31342507473831333</v>
      </c>
      <c r="G23" s="8">
        <f>splint(Data!$C$5:$C$15,Data!$I$5:$I$15,Data!$E$15,E23)</f>
        <v>0.27801941764708349</v>
      </c>
      <c r="H23" s="9">
        <f t="shared" si="3"/>
        <v>0.32190830525346281</v>
      </c>
      <c r="I23">
        <f t="shared" si="0"/>
        <v>1.9262344553253965E-3</v>
      </c>
    </row>
    <row r="24" spans="2:9" x14ac:dyDescent="0.25">
      <c r="D24" s="1" t="str">
        <f t="shared" si="1"/>
        <v>p</v>
      </c>
      <c r="E24" s="1">
        <f t="shared" si="4"/>
        <v>73</v>
      </c>
      <c r="F24" s="1">
        <f t="shared" si="2"/>
        <v>-0.29963175260597752</v>
      </c>
      <c r="G24" s="8">
        <f>splint(Data!$C$5:$C$15,Data!$I$5:$I$15,Data!$E$15,E24)</f>
        <v>0.27455080204534166</v>
      </c>
      <c r="H24" s="9">
        <f t="shared" si="3"/>
        <v>0.31770514695949359</v>
      </c>
      <c r="I24">
        <f t="shared" si="0"/>
        <v>1.8622974849695907E-3</v>
      </c>
    </row>
    <row r="25" spans="2:9" x14ac:dyDescent="0.25">
      <c r="D25" s="1" t="str">
        <f t="shared" si="1"/>
        <v>p</v>
      </c>
      <c r="E25" s="1">
        <f t="shared" si="4"/>
        <v>74</v>
      </c>
      <c r="F25" s="1">
        <f t="shared" si="2"/>
        <v>-0.28602610055019895</v>
      </c>
      <c r="G25" s="8">
        <f>splint(Data!$C$5:$C$15,Data!$I$5:$I$15,Data!$E$15,E25)</f>
        <v>0.27102558934729865</v>
      </c>
      <c r="H25" s="9">
        <f t="shared" si="3"/>
        <v>0.31350823883837775</v>
      </c>
      <c r="I25">
        <f t="shared" si="0"/>
        <v>1.8047755077818838E-3</v>
      </c>
    </row>
    <row r="26" spans="2:9" x14ac:dyDescent="0.25">
      <c r="D26" s="1" t="str">
        <f t="shared" si="1"/>
        <v>p</v>
      </c>
      <c r="E26" s="1">
        <f t="shared" si="4"/>
        <v>75</v>
      </c>
      <c r="F26" s="1">
        <f t="shared" si="2"/>
        <v>-0.27260308021805812</v>
      </c>
      <c r="G26" s="8">
        <f>splint(Data!$C$5:$C$15,Data!$I$5:$I$15,Data!$E$15,E26)</f>
        <v>0.26745537144337017</v>
      </c>
      <c r="H26" s="9">
        <f t="shared" si="3"/>
        <v>0.30931641881101957</v>
      </c>
      <c r="I26">
        <f t="shared" si="0"/>
        <v>1.7523472867165865E-3</v>
      </c>
    </row>
    <row r="27" spans="2:9" x14ac:dyDescent="0.25">
      <c r="D27" s="1" t="str">
        <f t="shared" si="1"/>
        <v>p</v>
      </c>
      <c r="E27" s="1">
        <f t="shared" si="4"/>
        <v>76</v>
      </c>
      <c r="F27" s="1">
        <f t="shared" si="2"/>
        <v>-0.25935785346803752</v>
      </c>
      <c r="G27" s="8">
        <f>splint(Data!$C$5:$C$15,Data!$I$5:$I$15,Data!$E$15,E27)</f>
        <v>0.26385174022397212</v>
      </c>
      <c r="H27" s="9">
        <f t="shared" si="3"/>
        <v>0.30512854229511771</v>
      </c>
      <c r="I27">
        <f t="shared" si="0"/>
        <v>1.703774389220529E-3</v>
      </c>
    </row>
    <row r="28" spans="2:9" x14ac:dyDescent="0.25">
      <c r="D28" s="1" t="str">
        <f t="shared" si="1"/>
        <v>p</v>
      </c>
      <c r="E28" s="1">
        <f t="shared" si="4"/>
        <v>77</v>
      </c>
      <c r="F28" s="1">
        <f t="shared" si="2"/>
        <v>-0.24628577190068479</v>
      </c>
      <c r="G28" s="8">
        <f>splint(Data!$C$5:$C$15,Data!$I$5:$I$15,Data!$E$15,E28)</f>
        <v>0.26022628757952021</v>
      </c>
      <c r="H28" s="9">
        <f t="shared" si="3"/>
        <v>0.30094348184242331</v>
      </c>
      <c r="I28">
        <f t="shared" si="0"/>
        <v>1.657889908642989E-3</v>
      </c>
    </row>
    <row r="29" spans="2:9" x14ac:dyDescent="0.25">
      <c r="D29" s="1" t="str">
        <f t="shared" si="1"/>
        <v>p</v>
      </c>
      <c r="E29" s="1">
        <f t="shared" si="4"/>
        <v>78</v>
      </c>
      <c r="F29" s="1">
        <f t="shared" si="2"/>
        <v>-0.23338236706477694</v>
      </c>
      <c r="G29" s="8">
        <f>splint(Data!$C$5:$C$15,Data!$I$5:$I$15,Data!$E$15,E29)</f>
        <v>0.25659060540043038</v>
      </c>
      <c r="H29" s="9">
        <f t="shared" si="3"/>
        <v>0.2967601271309569</v>
      </c>
      <c r="I29">
        <f t="shared" si="0"/>
        <v>1.6135904760592418E-3</v>
      </c>
    </row>
    <row r="30" spans="2:9" x14ac:dyDescent="0.25">
      <c r="D30" s="1" t="str">
        <f t="shared" si="1"/>
        <v>p</v>
      </c>
      <c r="E30" s="1">
        <f t="shared" si="4"/>
        <v>79</v>
      </c>
      <c r="F30" s="1">
        <f t="shared" si="2"/>
        <v>-0.22064334128734706</v>
      </c>
      <c r="G30" s="8">
        <f>splint(Data!$C$5:$C$15,Data!$I$5:$I$15,Data!$E$15,E30)</f>
        <v>0.25295628557711836</v>
      </c>
      <c r="H30" s="9">
        <f t="shared" si="3"/>
        <v>0.29257738536133737</v>
      </c>
      <c r="I30">
        <f t="shared" si="0"/>
        <v>1.5698315481110401E-3</v>
      </c>
    </row>
    <row r="31" spans="2:9" x14ac:dyDescent="0.25">
      <c r="D31" s="1" t="str">
        <f t="shared" si="1"/>
        <v>p</v>
      </c>
      <c r="E31" s="1">
        <f t="shared" si="4"/>
        <v>80</v>
      </c>
      <c r="F31" s="1">
        <f t="shared" si="2"/>
        <v>-0.20806455908048699</v>
      </c>
      <c r="G31" s="8">
        <f>splint(Data!$C$5:$C$15,Data!$I$5:$I$15,Data!$E$15,E31)</f>
        <v>0.24933491999999999</v>
      </c>
      <c r="H31" s="9">
        <f t="shared" si="3"/>
        <v>0.28839418211797452</v>
      </c>
      <c r="I31">
        <f t="shared" si="0"/>
        <v>1.5256259572006402E-3</v>
      </c>
    </row>
    <row r="32" spans="2:9" x14ac:dyDescent="0.25">
      <c r="D32" s="1" t="str">
        <f t="shared" si="1"/>
        <v>p</v>
      </c>
      <c r="E32" s="1">
        <f t="shared" si="4"/>
        <v>81</v>
      </c>
      <c r="F32" s="1">
        <f t="shared" si="2"/>
        <v>-0.19564203908192987</v>
      </c>
      <c r="G32" s="8">
        <f>splint(Data!$C$5:$C$15,Data!$I$5:$I$15,Data!$E$15,E32)</f>
        <v>0.24573557918583017</v>
      </c>
      <c r="H32" s="9">
        <f t="shared" si="3"/>
        <v>0.28420946276971132</v>
      </c>
      <c r="I32">
        <f t="shared" si="0"/>
        <v>1.4802397180260396E-3</v>
      </c>
    </row>
    <row r="33" spans="4:9" x14ac:dyDescent="0.25">
      <c r="D33" s="1" t="str">
        <f t="shared" si="1"/>
        <v>p</v>
      </c>
      <c r="E33" s="1">
        <f t="shared" si="4"/>
        <v>82</v>
      </c>
      <c r="F33" s="1">
        <f t="shared" si="2"/>
        <v>-0.18337194649011554</v>
      </c>
      <c r="G33" s="8">
        <f>splint(Data!$C$5:$C$15,Data!$I$5:$I$15,Data!$E$15,E33)</f>
        <v>0.24215724815671999</v>
      </c>
      <c r="H33" s="9">
        <f t="shared" si="3"/>
        <v>0.28002219450105509</v>
      </c>
      <c r="I33">
        <f t="shared" si="0"/>
        <v>1.433754161659376E-3</v>
      </c>
    </row>
    <row r="34" spans="4:9" x14ac:dyDescent="0.25">
      <c r="D34" s="1" t="str">
        <f t="shared" si="1"/>
        <v>p</v>
      </c>
      <c r="E34" s="1">
        <f t="shared" si="4"/>
        <v>83</v>
      </c>
      <c r="F34" s="1">
        <f t="shared" si="2"/>
        <v>-0.17125058595777076</v>
      </c>
      <c r="G34" s="8">
        <f>splint(Data!$C$5:$C$15,Data!$I$5:$I$15,Data!$E$15,E34)</f>
        <v>0.2385963905611195</v>
      </c>
      <c r="H34" s="9">
        <f t="shared" si="3"/>
        <v>0.27583136908501099</v>
      </c>
      <c r="I34">
        <f t="shared" si="0"/>
        <v>1.3864436256746603E-3</v>
      </c>
    </row>
    <row r="35" spans="4:9" x14ac:dyDescent="0.25">
      <c r="D35" s="1" t="str">
        <f t="shared" si="1"/>
        <v>p</v>
      </c>
      <c r="E35" s="1">
        <f t="shared" si="4"/>
        <v>84</v>
      </c>
      <c r="F35" s="1">
        <f t="shared" si="2"/>
        <v>-0.15927439491105497</v>
      </c>
      <c r="G35" s="8">
        <f>splint(Data!$C$5:$C$15,Data!$I$5:$I$15,Data!$E$15,E35)</f>
        <v>0.23504947004747889</v>
      </c>
      <c r="H35" s="9">
        <f t="shared" si="3"/>
        <v>0.27163600653244829</v>
      </c>
      <c r="I35">
        <f t="shared" si="0"/>
        <v>1.3385746519659972E-3</v>
      </c>
    </row>
    <row r="36" spans="4:9" x14ac:dyDescent="0.25">
      <c r="D36" s="1" t="str">
        <f t="shared" si="1"/>
        <v>p</v>
      </c>
      <c r="E36" s="1">
        <f t="shared" si="4"/>
        <v>85</v>
      </c>
      <c r="F36" s="1">
        <f t="shared" si="2"/>
        <v>-0.14743993726405216</v>
      </c>
      <c r="G36" s="8">
        <f>splint(Data!$C$5:$C$15,Data!$I$5:$I$15,Data!$E$15,E36)</f>
        <v>0.23151295026424831</v>
      </c>
      <c r="H36" s="9">
        <f t="shared" si="3"/>
        <v>0.26743515978176535</v>
      </c>
      <c r="I36">
        <f>(G36-H36)^2</f>
        <v>1.2904051366203918E-3</v>
      </c>
    </row>
    <row r="37" spans="4:9" x14ac:dyDescent="0.25">
      <c r="D37" s="1" t="str">
        <f t="shared" si="1"/>
        <v>p</v>
      </c>
      <c r="E37" s="1">
        <f t="shared" si="4"/>
        <v>86</v>
      </c>
      <c r="F37" s="1">
        <f t="shared" si="2"/>
        <v>-0.13574389750086091</v>
      </c>
      <c r="G37" s="8">
        <f>splint(Data!$C$5:$C$15,Data!$I$5:$I$15,Data!$E$15,E37)</f>
        <v>0.22798329485987787</v>
      </c>
      <c r="H37" s="9">
        <f t="shared" si="3"/>
        <v>0.26322792062741812</v>
      </c>
      <c r="I37">
        <f t="shared" ref="I37:I66" si="5">(G37-H37)^2</f>
        <v>1.2421836454939625E-3</v>
      </c>
    </row>
    <row r="38" spans="4:9" x14ac:dyDescent="0.25">
      <c r="D38" s="1" t="str">
        <f t="shared" si="1"/>
        <v>p</v>
      </c>
      <c r="E38" s="1">
        <f t="shared" si="4"/>
        <v>87</v>
      </c>
      <c r="F38" s="1">
        <f t="shared" si="2"/>
        <v>-0.12418307509978496</v>
      </c>
      <c r="G38" s="8">
        <f>splint(Data!$C$5:$C$15,Data!$I$5:$I$15,Data!$E$15,E38)</f>
        <v>0.22445696748281765</v>
      </c>
      <c r="H38" s="9">
        <f t="shared" si="3"/>
        <v>0.25901342712791903</v>
      </c>
      <c r="I38">
        <f t="shared" si="5"/>
        <v>1.1941489032035197E-3</v>
      </c>
    </row>
    <row r="39" spans="4:9" x14ac:dyDescent="0.25">
      <c r="D39" s="1" t="str">
        <f t="shared" si="1"/>
        <v>p</v>
      </c>
      <c r="E39" s="1">
        <f t="shared" si="4"/>
        <v>88</v>
      </c>
      <c r="F39" s="1">
        <f t="shared" si="2"/>
        <v>-0.11275437927616211</v>
      </c>
      <c r="G39" s="8">
        <f>splint(Data!$C$5:$C$15,Data!$I$5:$I$15,Data!$E$15,E39)</f>
        <v>0.22093043178151789</v>
      </c>
      <c r="H39" s="9">
        <f t="shared" si="3"/>
        <v>0.25479087278467866</v>
      </c>
      <c r="I39">
        <f t="shared" si="5"/>
        <v>1.1465294649285311E-3</v>
      </c>
    </row>
    <row r="40" spans="4:9" x14ac:dyDescent="0.25">
      <c r="D40" s="1" t="str">
        <f t="shared" si="1"/>
        <v>p</v>
      </c>
      <c r="E40" s="1">
        <f t="shared" si="4"/>
        <v>89</v>
      </c>
      <c r="F40" s="1">
        <f t="shared" si="2"/>
        <v>-0.10145482402222877</v>
      </c>
      <c r="G40" s="8">
        <f>splint(Data!$C$5:$C$15,Data!$I$5:$I$15,Data!$E$15,E40)</f>
        <v>0.21740015140442862</v>
      </c>
      <c r="H40" s="9">
        <f t="shared" si="3"/>
        <v>0.25055951784435532</v>
      </c>
      <c r="I40">
        <f t="shared" si="5"/>
        <v>1.0995435826973371E-3</v>
      </c>
    </row>
    <row r="41" spans="4:9" x14ac:dyDescent="0.25">
      <c r="D41" s="1" t="str">
        <f t="shared" si="1"/>
        <v>p</v>
      </c>
      <c r="E41" s="1">
        <f t="shared" si="4"/>
        <v>90</v>
      </c>
      <c r="F41" s="1">
        <f t="shared" si="2"/>
        <v>-9.0281523424103574E-2</v>
      </c>
      <c r="G41" s="8">
        <f>splint(Data!$C$5:$C$15,Data!$I$5:$I$15,Data!$E$15,E41)</f>
        <v>0.21386258999999999</v>
      </c>
      <c r="H41" s="9">
        <f t="shared" si="3"/>
        <v>0.24631870315124385</v>
      </c>
      <c r="I41">
        <f t="shared" si="5"/>
        <v>1.0533992808863446E-3</v>
      </c>
    </row>
    <row r="42" spans="4:9" x14ac:dyDescent="0.25">
      <c r="D42" s="1" t="str">
        <f t="shared" si="1"/>
        <v>p</v>
      </c>
      <c r="E42" s="1">
        <f t="shared" si="4"/>
        <v>91</v>
      </c>
      <c r="F42" s="1">
        <f t="shared" si="2"/>
        <v>-7.9231687237518625E-2</v>
      </c>
      <c r="G42" s="8">
        <f>splint(Data!$C$5:$C$15,Data!$I$5:$I$15,Data!$E$15,E42)</f>
        <v>0.21031533128457108</v>
      </c>
      <c r="H42" s="9">
        <f t="shared" si="3"/>
        <v>0.2420678670650577</v>
      </c>
      <c r="I42">
        <f t="shared" si="5"/>
        <v>1.0082235284910829E-3</v>
      </c>
    </row>
    <row r="43" spans="4:9" x14ac:dyDescent="0.25">
      <c r="D43" s="1" t="str">
        <f t="shared" si="1"/>
        <v>p</v>
      </c>
      <c r="E43" s="1">
        <f t="shared" si="4"/>
        <v>92</v>
      </c>
      <c r="F43" s="1">
        <f t="shared" si="2"/>
        <v>-6.8302616705328265E-2</v>
      </c>
      <c r="G43" s="8">
        <f>splint(Data!$C$5:$C$15,Data!$I$5:$I$15,Data!$E$15,E43)</f>
        <v>0.20676043924603665</v>
      </c>
      <c r="H43" s="9">
        <f t="shared" si="3"/>
        <v>0.23780656606586076</v>
      </c>
      <c r="I43">
        <f t="shared" si="5"/>
        <v>9.6386199051260162E-4</v>
      </c>
    </row>
    <row r="44" spans="4:9" x14ac:dyDescent="0.25">
      <c r="D44" s="1" t="str">
        <f t="shared" si="1"/>
        <v>p</v>
      </c>
      <c r="E44" s="1">
        <f t="shared" si="4"/>
        <v>93</v>
      </c>
      <c r="F44" s="1">
        <f t="shared" si="2"/>
        <v>-5.7491700601112666E-2</v>
      </c>
      <c r="G44" s="8">
        <f>splint(Data!$C$5:$C$15,Data!$I$5:$I$15,Data!$E$15,E44)</f>
        <v>0.20320109794018026</v>
      </c>
      <c r="H44" s="9">
        <f t="shared" si="3"/>
        <v>0.23353449979469626</v>
      </c>
      <c r="I44">
        <f t="shared" si="5"/>
        <v>9.2011526806755448E-4</v>
      </c>
    </row>
    <row r="45" spans="4:9" x14ac:dyDescent="0.25">
      <c r="D45" s="1" t="str">
        <f t="shared" si="1"/>
        <v>p</v>
      </c>
      <c r="E45" s="1">
        <f t="shared" si="4"/>
        <v>94</v>
      </c>
      <c r="F45" s="1">
        <f t="shared" si="2"/>
        <v>-4.6796411484364739E-2</v>
      </c>
      <c r="G45" s="8">
        <f>splint(Data!$C$5:$C$15,Data!$I$5:$I$15,Data!$E$15,E45)</f>
        <v>0.1996404914227857</v>
      </c>
      <c r="H45" s="9">
        <f t="shared" si="3"/>
        <v>0.22925154142841753</v>
      </c>
      <c r="I45">
        <f t="shared" si="5"/>
        <v>8.7681428243602873E-4</v>
      </c>
    </row>
    <row r="46" spans="4:9" x14ac:dyDescent="0.25">
      <c r="D46" s="1" t="str">
        <f t="shared" si="1"/>
        <v>p</v>
      </c>
      <c r="E46" s="1">
        <f t="shared" si="4"/>
        <v>95</v>
      </c>
      <c r="F46" s="1">
        <f t="shared" si="2"/>
        <v>-3.6214302153827822E-2</v>
      </c>
      <c r="G46" s="8">
        <f>splint(Data!$C$5:$C$15,Data!$I$5:$I$15,Data!$E$15,E46)</f>
        <v>0.19608180374963649</v>
      </c>
      <c r="H46" s="9">
        <f t="shared" si="3"/>
        <v>0.2249577744627361</v>
      </c>
      <c r="I46">
        <f t="shared" si="5"/>
        <v>8.3382168462378626E-4</v>
      </c>
    </row>
    <row r="47" spans="4:9" x14ac:dyDescent="0.25">
      <c r="D47" s="1" t="str">
        <f t="shared" si="1"/>
        <v>p</v>
      </c>
      <c r="E47" s="1">
        <f t="shared" si="4"/>
        <v>96</v>
      </c>
      <c r="F47" s="1">
        <f t="shared" si="2"/>
        <v>-2.5743002286532334E-2</v>
      </c>
      <c r="G47" s="8">
        <f>splint(Data!$C$5:$C$15,Data!$I$5:$I$15,Data!$E$15,E47)</f>
        <v>0.19252821897651642</v>
      </c>
      <c r="H47" s="9">
        <f t="shared" si="3"/>
        <v>0.22065353717991612</v>
      </c>
      <c r="I47">
        <f t="shared" si="5"/>
        <v>7.9103352404248629E-4</v>
      </c>
    </row>
    <row r="48" spans="4:9" x14ac:dyDescent="0.25">
      <c r="D48" s="1" t="str">
        <f t="shared" si="1"/>
        <v>p</v>
      </c>
      <c r="E48" s="1">
        <f t="shared" si="4"/>
        <v>97</v>
      </c>
      <c r="F48" s="1">
        <f t="shared" si="2"/>
        <v>-1.5380215250985776E-2</v>
      </c>
      <c r="G48" s="8">
        <f>splint(Data!$C$5:$C$15,Data!$I$5:$I$15,Data!$E$15,E48)</f>
        <v>0.18898292115920903</v>
      </c>
      <c r="H48" s="9">
        <f t="shared" si="3"/>
        <v>0.21633947630611869</v>
      </c>
      <c r="I48">
        <f t="shared" si="5"/>
        <v>7.4838110950590923E-4</v>
      </c>
    </row>
    <row r="49" spans="4:9" x14ac:dyDescent="0.25">
      <c r="D49" s="1" t="str">
        <f t="shared" si="1"/>
        <v>p</v>
      </c>
      <c r="E49" s="1">
        <f t="shared" si="4"/>
        <v>98</v>
      </c>
      <c r="F49" s="1">
        <f t="shared" si="2"/>
        <v>-5.1237150837967049E-3</v>
      </c>
      <c r="G49" s="8">
        <f>splint(Data!$C$5:$C$15,Data!$I$5:$I$15,Data!$E$15,E49)</f>
        <v>0.1854490943534981</v>
      </c>
      <c r="H49" s="9">
        <f t="shared" si="3"/>
        <v>0.21201661161358426</v>
      </c>
      <c r="I49">
        <f t="shared" si="5"/>
        <v>7.0583297336497606E-4</v>
      </c>
    </row>
    <row r="50" spans="4:9" x14ac:dyDescent="0.25">
      <c r="D50" s="1" t="str">
        <f t="shared" si="1"/>
        <v>p</v>
      </c>
      <c r="E50" s="1">
        <f t="shared" si="4"/>
        <v>99</v>
      </c>
      <c r="F50" s="1">
        <f t="shared" si="2"/>
        <v>5.0286563802212766E-3</v>
      </c>
      <c r="G50" s="8">
        <f>splint(Data!$C$5:$C$15,Data!$I$5:$I$15,Data!$E$15,E50)</f>
        <v>0.18192992261516719</v>
      </c>
      <c r="H50" s="9">
        <f t="shared" si="3"/>
        <v>0.20768641348363906</v>
      </c>
      <c r="I50">
        <f t="shared" si="5"/>
        <v>6.6339682185767481E-4</v>
      </c>
    </row>
    <row r="51" spans="4:9" x14ac:dyDescent="0.25">
      <c r="D51" s="1" t="str">
        <f t="shared" si="1"/>
        <v>c</v>
      </c>
      <c r="E51" s="1">
        <f t="shared" si="4"/>
        <v>100</v>
      </c>
      <c r="F51" s="1">
        <f t="shared" si="2"/>
        <v>1.5078992233722801E-2</v>
      </c>
      <c r="G51" s="8">
        <f>splint(Data!$C$5:$C$15,Data!$I$5:$I$15,Data!$E$15,E51)</f>
        <v>0.17842859</v>
      </c>
      <c r="H51" s="9">
        <f t="shared" si="3"/>
        <v>0.20335089569643672</v>
      </c>
      <c r="I51">
        <f t="shared" si="5"/>
        <v>6.2112132122664216E-4</v>
      </c>
    </row>
    <row r="52" spans="4:9" x14ac:dyDescent="0.25">
      <c r="D52" s="1" t="str">
        <f t="shared" si="1"/>
        <v>c</v>
      </c>
      <c r="E52" s="1">
        <f t="shared" si="4"/>
        <v>101</v>
      </c>
      <c r="F52" s="1">
        <f t="shared" si="2"/>
        <v>2.5029323086890751E-2</v>
      </c>
      <c r="G52" s="8">
        <f>splint(Data!$C$5:$C$15,Data!$I$5:$I$15,Data!$E$15,E52)</f>
        <v>0.17494895696588542</v>
      </c>
      <c r="H52" s="9">
        <f t="shared" si="3"/>
        <v>0.19901272591452776</v>
      </c>
      <c r="I52">
        <f t="shared" si="5"/>
        <v>5.7906497601364351E-4</v>
      </c>
    </row>
    <row r="53" spans="4:9" x14ac:dyDescent="0.25">
      <c r="D53" s="1" t="str">
        <f t="shared" si="1"/>
        <v>c</v>
      </c>
      <c r="E53" s="1">
        <f t="shared" si="4"/>
        <v>102</v>
      </c>
      <c r="F53" s="1">
        <f t="shared" si="2"/>
        <v>3.4881619529902465E-2</v>
      </c>
      <c r="G53" s="8">
        <f>splint(Data!$C$5:$C$15,Data!$I$5:$I$15,Data!$E$15,E53)</f>
        <v>0.1714975895791335</v>
      </c>
      <c r="H53" s="9">
        <f t="shared" si="3"/>
        <v>0.19467535641711756</v>
      </c>
      <c r="I53">
        <f t="shared" si="5"/>
        <v>5.3720887559595355E-4</v>
      </c>
    </row>
    <row r="54" spans="4:9" x14ac:dyDescent="0.25">
      <c r="D54" s="1" t="str">
        <f t="shared" si="1"/>
        <v>c</v>
      </c>
      <c r="E54" s="1">
        <f t="shared" si="4"/>
        <v>103</v>
      </c>
      <c r="F54" s="1">
        <f t="shared" si="2"/>
        <v>4.4637794475267237E-2</v>
      </c>
      <c r="G54" s="8">
        <f>splint(Data!$C$5:$C$15,Data!$I$5:$I$15,Data!$E$15,E54)</f>
        <v>0.16808173030815934</v>
      </c>
      <c r="H54" s="9">
        <f t="shared" si="3"/>
        <v>0.19034317752138696</v>
      </c>
      <c r="I54">
        <f t="shared" si="5"/>
        <v>4.9557203202731971E-4</v>
      </c>
    </row>
    <row r="55" spans="4:9" x14ac:dyDescent="0.25">
      <c r="D55" s="1" t="str">
        <f t="shared" si="1"/>
        <v>c</v>
      </c>
      <c r="E55" s="1">
        <f t="shared" si="4"/>
        <v>104</v>
      </c>
      <c r="F55" s="1">
        <f t="shared" si="2"/>
        <v>5.4299705387003995E-2</v>
      </c>
      <c r="G55" s="8">
        <f>splint(Data!$C$5:$C$15,Data!$I$5:$I$15,Data!$E$15,E55)</f>
        <v>0.16470862162137831</v>
      </c>
      <c r="H55" s="9">
        <f t="shared" si="3"/>
        <v>0.18602169564704588</v>
      </c>
      <c r="I55">
        <f t="shared" si="5"/>
        <v>4.5424712442358549E-4</v>
      </c>
    </row>
    <row r="56" spans="4:9" x14ac:dyDescent="0.25">
      <c r="D56" s="1" t="str">
        <f t="shared" si="1"/>
        <v>c</v>
      </c>
      <c r="E56" s="1">
        <f t="shared" si="4"/>
        <v>105</v>
      </c>
      <c r="F56" s="1">
        <f t="shared" si="2"/>
        <v>6.3869156403154784E-2</v>
      </c>
      <c r="G56" s="8">
        <f>splint(Data!$C$5:$C$15,Data!$I$5:$I$15,Data!$E$15,E56)</f>
        <v>0.16138550598720561</v>
      </c>
      <c r="H56" s="9">
        <f t="shared" si="3"/>
        <v>0.18171773692395651</v>
      </c>
      <c r="I56">
        <f t="shared" si="5"/>
        <v>4.1339961486537059E-4</v>
      </c>
    </row>
    <row r="57" spans="4:9" x14ac:dyDescent="0.25">
      <c r="D57" s="1" t="str">
        <f t="shared" si="1"/>
        <v>c</v>
      </c>
      <c r="E57" s="1">
        <f t="shared" si="4"/>
        <v>106</v>
      </c>
      <c r="F57" s="1">
        <f t="shared" si="2"/>
        <v>7.3347900357698434E-2</v>
      </c>
      <c r="G57" s="8">
        <f>splint(Data!$C$5:$C$15,Data!$I$5:$I$15,Data!$E$15,E57)</f>
        <v>0.15811962587405645</v>
      </c>
      <c r="H57" s="9">
        <f t="shared" si="3"/>
        <v>0.17743967531211297</v>
      </c>
      <c r="I57">
        <f t="shared" si="5"/>
        <v>3.732643102889478E-4</v>
      </c>
    </row>
    <row r="58" spans="4:9" x14ac:dyDescent="0.25">
      <c r="D58" s="1" t="str">
        <f t="shared" si="1"/>
        <v>c</v>
      </c>
      <c r="E58" s="1">
        <f t="shared" si="4"/>
        <v>107</v>
      </c>
      <c r="F58" s="1">
        <f t="shared" si="2"/>
        <v>8.2737640707537544E-2</v>
      </c>
      <c r="G58" s="8">
        <f>splint(Data!$C$5:$C$15,Data!$I$5:$I$15,Data!$E$15,E58)</f>
        <v>0.15491822375034606</v>
      </c>
      <c r="H58" s="9">
        <f t="shared" si="3"/>
        <v>0.17319768101406574</v>
      </c>
      <c r="I58">
        <f t="shared" si="5"/>
        <v>3.3413855785615433E-4</v>
      </c>
    </row>
    <row r="59" spans="4:9" x14ac:dyDescent="0.25">
      <c r="D59" s="1" t="str">
        <f t="shared" si="1"/>
        <v>c</v>
      </c>
      <c r="E59" s="1">
        <f t="shared" si="4"/>
        <v>108</v>
      </c>
      <c r="F59" s="1">
        <f t="shared" si="2"/>
        <v>9.2040033369851129E-2</v>
      </c>
      <c r="G59" s="8">
        <f>splint(Data!$C$5:$C$15,Data!$I$5:$I$15,Data!$E$15,E59)</f>
        <v>0.15178854208448969</v>
      </c>
      <c r="H59" s="9">
        <f t="shared" si="3"/>
        <v>0.16900398006253517</v>
      </c>
      <c r="I59">
        <f t="shared" si="5"/>
        <v>2.9637130477593059E-4</v>
      </c>
    </row>
    <row r="60" spans="4:9" x14ac:dyDescent="0.25">
      <c r="D60" s="1" t="str">
        <f t="shared" si="1"/>
        <v>c</v>
      </c>
      <c r="E60" s="1">
        <f t="shared" si="4"/>
        <v>109</v>
      </c>
      <c r="F60" s="1">
        <f t="shared" si="2"/>
        <v>0.10125668847477502</v>
      </c>
      <c r="G60" s="8">
        <f>splint(Data!$C$5:$C$15,Data!$I$5:$I$15,Data!$E$15,E60)</f>
        <v>0.14873782334490263</v>
      </c>
      <c r="H60" s="9">
        <f t="shared" si="3"/>
        <v>0.16487310891995424</v>
      </c>
      <c r="I60">
        <f t="shared" si="5"/>
        <v>2.6034744058846878E-4</v>
      </c>
    </row>
    <row r="61" spans="4:9" x14ac:dyDescent="0.25">
      <c r="D61" s="1" t="str">
        <f t="shared" si="1"/>
        <v>c</v>
      </c>
      <c r="E61" s="1">
        <f t="shared" si="4"/>
        <v>110</v>
      </c>
      <c r="F61" s="1">
        <f t="shared" si="2"/>
        <v>0.11038917203804763</v>
      </c>
      <c r="G61" s="8">
        <f>splint(Data!$C$5:$C$15,Data!$I$5:$I$15,Data!$E$15,E61)</f>
        <v>0.14577331000000002</v>
      </c>
      <c r="H61" s="9">
        <f t="shared" si="3"/>
        <v>0.16082213846596338</v>
      </c>
      <c r="I61">
        <f t="shared" si="5"/>
        <v>2.264672381979893E-4</v>
      </c>
    </row>
    <row r="62" spans="4:9" x14ac:dyDescent="0.25">
      <c r="D62" s="1" t="str">
        <f t="shared" si="1"/>
        <v>c</v>
      </c>
      <c r="E62" s="1">
        <f t="shared" si="4"/>
        <v>111</v>
      </c>
      <c r="F62" s="1">
        <f t="shared" si="2"/>
        <v>0.1194390075579656</v>
      </c>
      <c r="G62" s="8">
        <f>splint(Data!$C$5:$C$15,Data!$I$5:$I$15,Data!$E$15,E62)</f>
        <v>0.14290236973188722</v>
      </c>
      <c r="H62" s="9">
        <f t="shared" si="3"/>
        <v>0.1568708300808605</v>
      </c>
      <c r="I62">
        <f t="shared" si="5"/>
        <v>1.9511788452083881E-4</v>
      </c>
    </row>
    <row r="63" spans="4:9" x14ac:dyDescent="0.25">
      <c r="D63" s="1" t="str">
        <f t="shared" si="1"/>
        <v>c</v>
      </c>
      <c r="E63" s="1">
        <f t="shared" si="4"/>
        <v>112</v>
      </c>
      <c r="F63" s="1">
        <f t="shared" si="2"/>
        <v>0.12840767754072588</v>
      </c>
      <c r="G63" s="8">
        <f>splint(Data!$C$5:$C$15,Data!$I$5:$I$15,Data!$E$15,E63)</f>
        <v>0.1401328710774295</v>
      </c>
      <c r="H63" s="9">
        <f t="shared" si="3"/>
        <v>0.15304167379186159</v>
      </c>
      <c r="I63">
        <f t="shared" si="5"/>
        <v>1.6663718752012939E-4</v>
      </c>
    </row>
    <row r="64" spans="4:9" x14ac:dyDescent="0.25">
      <c r="D64" s="1" t="str">
        <f t="shared" si="1"/>
        <v>c</v>
      </c>
      <c r="E64" s="1">
        <f t="shared" si="4"/>
        <v>113</v>
      </c>
      <c r="F64" s="1">
        <f t="shared" si="2"/>
        <v>0.13729662495797199</v>
      </c>
      <c r="G64" s="8">
        <f>splint(Data!$C$5:$C$15,Data!$I$5:$I$15,Data!$E$15,E64)</f>
        <v>0.13747280778718232</v>
      </c>
      <c r="H64" s="9">
        <f t="shared" si="3"/>
        <v>0.14935974724529261</v>
      </c>
      <c r="I64">
        <f t="shared" si="5"/>
        <v>1.4129932968077923E-4</v>
      </c>
    </row>
    <row r="65" spans="4:9" x14ac:dyDescent="0.25">
      <c r="D65" s="1" t="str">
        <f t="shared" si="1"/>
        <v>c</v>
      </c>
      <c r="E65" s="1">
        <f t="shared" si="4"/>
        <v>114</v>
      </c>
      <c r="F65" s="1">
        <f t="shared" si="2"/>
        <v>0.14610725464012678</v>
      </c>
      <c r="G65" s="8">
        <f>splint(Data!$C$5:$C$15,Data!$I$5:$I$15,Data!$E$15,E65)</f>
        <v>0.13493017361170109</v>
      </c>
      <c r="H65" s="9">
        <f t="shared" si="3"/>
        <v>0.14585232911333557</v>
      </c>
      <c r="I65">
        <f t="shared" si="5"/>
        <v>1.1929348080188418E-4</v>
      </c>
    </row>
    <row r="66" spans="4:9" x14ac:dyDescent="0.25">
      <c r="D66" s="1" t="str">
        <f t="shared" si="1"/>
        <v>c</v>
      </c>
      <c r="E66" s="1">
        <f t="shared" si="4"/>
        <v>115</v>
      </c>
      <c r="F66" s="1">
        <f t="shared" si="2"/>
        <v>0.15484093460888143</v>
      </c>
      <c r="G66" s="8">
        <f>splint(Data!$C$5:$C$15,Data!$I$5:$I$15,Data!$E$15,E66)</f>
        <v>0.13251296230154117</v>
      </c>
      <c r="H66" s="9">
        <f t="shared" si="3"/>
        <v>0.14254820769385271</v>
      </c>
      <c r="I66">
        <f t="shared" si="5"/>
        <v>1.0070615008391004E-4</v>
      </c>
    </row>
    <row r="67" spans="4:9" x14ac:dyDescent="0.25">
      <c r="D67" s="1" t="str">
        <f t="shared" ref="D67:D101" si="6">IF(E67&lt;$C$5,"p","c")</f>
        <v>c</v>
      </c>
      <c r="E67" s="1">
        <f t="shared" si="4"/>
        <v>116</v>
      </c>
      <c r="F67" s="1">
        <f t="shared" ref="F67:F101" si="7">LN(E67/$C$6)</f>
        <v>0.16349899735199611</v>
      </c>
      <c r="G67" s="8">
        <f>splint(Data!$C$5:$C$15,Data!$I$5:$I$15,Data!$E$15,E67)</f>
        <v>0.13022916760725795</v>
      </c>
      <c r="H67" s="9">
        <f t="shared" ref="H67:H101" si="8">SQRT(($C$14+$C$15*($C$16*(F67-$C$17)+SQRT((F67-$C$17)^2+$C$18^2)))/$C$2)</f>
        <v>0.13947665153394911</v>
      </c>
    </row>
    <row r="68" spans="4:9" x14ac:dyDescent="0.25">
      <c r="D68" s="1" t="str">
        <f t="shared" si="6"/>
        <v>c</v>
      </c>
      <c r="E68" s="1">
        <f t="shared" ref="E68:E101" si="9">E67+1</f>
        <v>117</v>
      </c>
      <c r="F68" s="1">
        <f t="shared" si="7"/>
        <v>0.17208274104338744</v>
      </c>
      <c r="G68" s="8">
        <f>splint(Data!$C$5:$C$15,Data!$I$5:$I$15,Data!$E$15,E68)</f>
        <v>0.12808678327940681</v>
      </c>
      <c r="H68" s="9">
        <f t="shared" si="8"/>
        <v>0.1366660578154498</v>
      </c>
    </row>
    <row r="69" spans="4:9" x14ac:dyDescent="0.25">
      <c r="D69" s="1" t="str">
        <f t="shared" si="6"/>
        <v>c</v>
      </c>
      <c r="E69" s="1">
        <f t="shared" si="9"/>
        <v>118</v>
      </c>
      <c r="F69" s="1">
        <f t="shared" si="7"/>
        <v>0.18059343071129616</v>
      </c>
      <c r="G69" s="8">
        <f>splint(Data!$C$5:$C$15,Data!$I$5:$I$15,Data!$E$15,E69)</f>
        <v>0.12609380306854318</v>
      </c>
      <c r="H69" s="9">
        <f t="shared" si="8"/>
        <v>0.13414236287715298</v>
      </c>
    </row>
    <row r="70" spans="4:9" x14ac:dyDescent="0.25">
      <c r="D70" s="1" t="str">
        <f t="shared" si="6"/>
        <v>c</v>
      </c>
      <c r="E70" s="1">
        <f t="shared" si="9"/>
        <v>119</v>
      </c>
      <c r="F70" s="1">
        <f t="shared" si="7"/>
        <v>0.18903229935716068</v>
      </c>
      <c r="G70" s="8">
        <f>splint(Data!$C$5:$C$15,Data!$I$5:$I$15,Data!$E$15,E70)</f>
        <v>0.12425822072522245</v>
      </c>
      <c r="H70" s="9">
        <f t="shared" si="8"/>
        <v>0.13192737399006943</v>
      </c>
    </row>
    <row r="71" spans="4:9" x14ac:dyDescent="0.25">
      <c r="D71" s="1" t="str">
        <f t="shared" si="6"/>
        <v>c</v>
      </c>
      <c r="E71" s="1">
        <f t="shared" si="9"/>
        <v>120</v>
      </c>
      <c r="F71" s="1">
        <f t="shared" si="7"/>
        <v>0.19740054902767734</v>
      </c>
      <c r="G71" s="8">
        <f>splint(Data!$C$5:$C$15,Data!$I$5:$I$15,Data!$E$15,E71)</f>
        <v>0.12258803</v>
      </c>
      <c r="H71" s="9">
        <f t="shared" si="8"/>
        <v>0.13003723893427283</v>
      </c>
    </row>
    <row r="72" spans="4:9" x14ac:dyDescent="0.25">
      <c r="D72" s="1" t="str">
        <f t="shared" si="6"/>
        <v>c</v>
      </c>
      <c r="E72" s="1">
        <f t="shared" si="9"/>
        <v>121</v>
      </c>
      <c r="F72" s="1">
        <f t="shared" si="7"/>
        <v>0.20569935184237251</v>
      </c>
      <c r="G72" s="8">
        <f>splint(Data!$C$5:$C$15,Data!$I$5:$I$15,Data!$E$15,E72)</f>
        <v>0.12108862391656587</v>
      </c>
      <c r="H72" s="9">
        <f t="shared" si="8"/>
        <v>0.12848128436562375</v>
      </c>
    </row>
    <row r="73" spans="4:9" x14ac:dyDescent="0.25">
      <c r="D73" s="1" t="str">
        <f t="shared" si="6"/>
        <v>c</v>
      </c>
      <c r="E73" s="1">
        <f t="shared" si="9"/>
        <v>122</v>
      </c>
      <c r="F73" s="1">
        <f t="shared" si="7"/>
        <v>0.21392985097888786</v>
      </c>
      <c r="G73" s="8">
        <f>splint(Data!$C$5:$C$15,Data!$I$5:$I$15,Data!$E$15,E73)</f>
        <v>0.11975499259114859</v>
      </c>
      <c r="H73" s="9">
        <f t="shared" si="8"/>
        <v>0.12726141013438116</v>
      </c>
    </row>
    <row r="74" spans="4:9" x14ac:dyDescent="0.25">
      <c r="D74" s="1" t="str">
        <f t="shared" si="6"/>
        <v>c</v>
      </c>
      <c r="E74" s="1">
        <f t="shared" si="9"/>
        <v>123</v>
      </c>
      <c r="F74" s="1">
        <f t="shared" si="7"/>
        <v>0.22209316161804887</v>
      </c>
      <c r="G74" s="8">
        <f>splint(Data!$C$5:$C$15,Data!$I$5:$I$15,Data!$E$15,E74)</f>
        <v>0.11857952541311136</v>
      </c>
      <c r="H74" s="9">
        <f t="shared" si="8"/>
        <v>0.12637213060442784</v>
      </c>
    </row>
    <row r="75" spans="4:9" x14ac:dyDescent="0.25">
      <c r="D75" s="1" t="str">
        <f t="shared" si="6"/>
        <v>c</v>
      </c>
      <c r="E75" s="1">
        <f t="shared" si="9"/>
        <v>124</v>
      </c>
      <c r="F75" s="1">
        <f t="shared" si="7"/>
        <v>0.23019037185066832</v>
      </c>
      <c r="G75" s="8">
        <f>splint(Data!$C$5:$C$15,Data!$I$5:$I$15,Data!$E$15,E75)</f>
        <v>0.11755461177181738</v>
      </c>
      <c r="H75" s="9">
        <f t="shared" si="8"/>
        <v>0.12580123351675279</v>
      </c>
    </row>
    <row r="76" spans="4:9" x14ac:dyDescent="0.25">
      <c r="D76" s="1" t="str">
        <f t="shared" si="6"/>
        <v>c</v>
      </c>
      <c r="E76" s="1">
        <f t="shared" si="9"/>
        <v>125</v>
      </c>
      <c r="F76" s="1">
        <f t="shared" si="7"/>
        <v>0.23822254354793246</v>
      </c>
      <c r="G76" s="8">
        <f>splint(Data!$C$5:$C$15,Data!$I$5:$I$15,Data!$E$15,E76)</f>
        <v>0.11667264105662983</v>
      </c>
      <c r="H76" s="9">
        <f t="shared" si="8"/>
        <v>0.12553091993738688</v>
      </c>
    </row>
    <row r="77" spans="4:9" x14ac:dyDescent="0.25">
      <c r="D77" s="1" t="str">
        <f t="shared" si="6"/>
        <v>c</v>
      </c>
      <c r="E77" s="1">
        <f t="shared" si="9"/>
        <v>126</v>
      </c>
      <c r="F77" s="1">
        <f t="shared" si="7"/>
        <v>0.24619071319710942</v>
      </c>
      <c r="G77" s="8">
        <f>splint(Data!$C$5:$C$15,Data!$I$5:$I$15,Data!$E$15,E77)</f>
        <v>0.11592600265691189</v>
      </c>
      <c r="H77" s="9">
        <f t="shared" si="8"/>
        <v>0.12553922560382683</v>
      </c>
    </row>
    <row r="78" spans="4:9" x14ac:dyDescent="0.25">
      <c r="D78" s="1" t="str">
        <f t="shared" si="6"/>
        <v>c</v>
      </c>
      <c r="E78" s="1">
        <f t="shared" si="9"/>
        <v>127</v>
      </c>
      <c r="F78" s="1">
        <f t="shared" si="7"/>
        <v>0.25409589270422256</v>
      </c>
      <c r="G78" s="8">
        <f>splint(Data!$C$5:$C$15,Data!$I$5:$I$15,Data!$E$15,E78)</f>
        <v>0.11530708596202674</v>
      </c>
      <c r="H78" s="9">
        <f t="shared" si="8"/>
        <v>0.12580151498955403</v>
      </c>
    </row>
    <row r="79" spans="4:9" x14ac:dyDescent="0.25">
      <c r="D79" s="1" t="str">
        <f t="shared" si="6"/>
        <v>c</v>
      </c>
      <c r="E79" s="1">
        <f t="shared" si="9"/>
        <v>128</v>
      </c>
      <c r="F79" s="1">
        <f t="shared" si="7"/>
        <v>0.26193907016524853</v>
      </c>
      <c r="G79" s="8">
        <f>splint(Data!$C$5:$C$15,Data!$I$5:$I$15,Data!$E$15,E79)</f>
        <v>0.1148082803613376</v>
      </c>
      <c r="H79" s="9">
        <f t="shared" si="8"/>
        <v>0.12629187487138779</v>
      </c>
    </row>
    <row r="80" spans="4:9" x14ac:dyDescent="0.25">
      <c r="D80" s="1" t="str">
        <f t="shared" si="6"/>
        <v>c</v>
      </c>
      <c r="E80" s="1">
        <f t="shared" si="9"/>
        <v>129</v>
      </c>
      <c r="F80" s="1">
        <f t="shared" si="7"/>
        <v>0.26972121060730353</v>
      </c>
      <c r="G80" s="8">
        <f>splint(Data!$C$5:$C$15,Data!$I$5:$I$15,Data!$E$15,E80)</f>
        <v>0.11442197524420762</v>
      </c>
      <c r="H80" s="9">
        <f t="shared" si="8"/>
        <v>0.12698429313629792</v>
      </c>
    </row>
    <row r="81" spans="4:8" x14ac:dyDescent="0.25">
      <c r="D81" s="1" t="str">
        <f t="shared" si="6"/>
        <v>c</v>
      </c>
      <c r="E81" s="1">
        <f t="shared" si="9"/>
        <v>130</v>
      </c>
      <c r="F81" s="1">
        <f t="shared" si="7"/>
        <v>0.27744325670121373</v>
      </c>
      <c r="G81" s="8">
        <f>splint(Data!$C$5:$C$15,Data!$I$5:$I$15,Data!$E$15,E81)</f>
        <v>0.11414056</v>
      </c>
      <c r="H81" s="9">
        <f t="shared" si="8"/>
        <v>0.12785356990672064</v>
      </c>
    </row>
    <row r="82" spans="4:8" x14ac:dyDescent="0.25">
      <c r="D82" s="1" t="str">
        <f t="shared" si="6"/>
        <v>c</v>
      </c>
      <c r="E82" s="1">
        <f t="shared" si="9"/>
        <v>131</v>
      </c>
      <c r="F82" s="1">
        <f t="shared" si="7"/>
        <v>0.28510612944678293</v>
      </c>
      <c r="G82" s="8">
        <f>splint(Data!$C$5:$C$15,Data!$I$5:$I$15,Data!$E$15,E82)</f>
        <v>0.11395814516184939</v>
      </c>
      <c r="H82" s="9">
        <f t="shared" si="8"/>
        <v>0.12887595768093396</v>
      </c>
    </row>
    <row r="83" spans="4:8" x14ac:dyDescent="0.25">
      <c r="D83" s="1" t="str">
        <f t="shared" si="6"/>
        <v>c</v>
      </c>
      <c r="E83" s="1">
        <f t="shared" si="9"/>
        <v>132</v>
      </c>
      <c r="F83" s="1">
        <f t="shared" si="7"/>
        <v>0.29271072883200216</v>
      </c>
      <c r="G83" s="8">
        <f>splint(Data!$C$5:$C$15,Data!$I$5:$I$15,Data!$E$15,E83)</f>
        <v>0.11387572583797616</v>
      </c>
      <c r="H83" s="9">
        <f t="shared" si="8"/>
        <v>0.1300295595204479</v>
      </c>
    </row>
    <row r="84" spans="4:8" x14ac:dyDescent="0.25">
      <c r="D84" s="1" t="str">
        <f t="shared" si="6"/>
        <v>c</v>
      </c>
      <c r="E84" s="1">
        <f t="shared" si="9"/>
        <v>133</v>
      </c>
      <c r="F84" s="1">
        <f t="shared" si="7"/>
        <v>0.30025793446738513</v>
      </c>
      <c r="G84" s="8">
        <f>splint(Data!$C$5:$C$15,Data!$I$5:$I$15,Data!$E$15,E84)</f>
        <v>0.1138960182803722</v>
      </c>
      <c r="H84" s="9">
        <f t="shared" si="8"/>
        <v>0.13129453024784699</v>
      </c>
    </row>
    <row r="85" spans="4:8" x14ac:dyDescent="0.25">
      <c r="D85" s="1" t="str">
        <f t="shared" si="6"/>
        <v>c</v>
      </c>
      <c r="E85" s="1">
        <f t="shared" si="9"/>
        <v>134</v>
      </c>
      <c r="F85" s="1">
        <f t="shared" si="7"/>
        <v>0.30774860619654276</v>
      </c>
      <c r="G85" s="8">
        <f>splint(Data!$C$5:$C$15,Data!$I$5:$I$15,Data!$E$15,E85)</f>
        <v>0.11402173874102936</v>
      </c>
      <c r="H85" s="9">
        <f t="shared" si="8"/>
        <v>0.13265312924776401</v>
      </c>
    </row>
    <row r="86" spans="4:8" x14ac:dyDescent="0.25">
      <c r="D86" s="1" t="str">
        <f t="shared" si="6"/>
        <v>c</v>
      </c>
      <c r="E86" s="1">
        <f t="shared" si="9"/>
        <v>135</v>
      </c>
      <c r="F86" s="1">
        <f t="shared" si="7"/>
        <v>0.31518358468406077</v>
      </c>
      <c r="G86" s="8">
        <f>splint(Data!$C$5:$C$15,Data!$I$5:$I$15,Data!$E$15,E86)</f>
        <v>0.11425560347193951</v>
      </c>
      <c r="H86" s="9">
        <f t="shared" si="8"/>
        <v>0.13408966952868323</v>
      </c>
    </row>
    <row r="87" spans="4:8" x14ac:dyDescent="0.25">
      <c r="D87" s="1" t="str">
        <f t="shared" si="6"/>
        <v>c</v>
      </c>
      <c r="E87" s="1">
        <f t="shared" si="9"/>
        <v>136</v>
      </c>
      <c r="F87" s="1">
        <f t="shared" si="7"/>
        <v>0.32256369198168339</v>
      </c>
      <c r="G87" s="8">
        <f>splint(Data!$C$5:$C$15,Data!$I$5:$I$15,Data!$E$15,E87)</f>
        <v>0.1146003287250945</v>
      </c>
      <c r="H87" s="9">
        <f t="shared" si="8"/>
        <v>0.13559040015022242</v>
      </c>
    </row>
    <row r="88" spans="4:8" x14ac:dyDescent="0.25">
      <c r="D88" s="1" t="str">
        <f t="shared" si="6"/>
        <v>c</v>
      </c>
      <c r="E88" s="1">
        <f t="shared" si="9"/>
        <v>137</v>
      </c>
      <c r="F88" s="1">
        <f t="shared" si="7"/>
        <v>0.32988973207375638</v>
      </c>
      <c r="G88" s="8">
        <f>splint(Data!$C$5:$C$15,Data!$I$5:$I$15,Data!$E$15,E88)</f>
        <v>0.11505863075248618</v>
      </c>
      <c r="H88" s="9">
        <f t="shared" si="8"/>
        <v>0.13714335064297334</v>
      </c>
    </row>
    <row r="89" spans="4:8" x14ac:dyDescent="0.25">
      <c r="D89" s="1" t="str">
        <f t="shared" si="6"/>
        <v>c</v>
      </c>
      <c r="E89" s="1">
        <f t="shared" si="9"/>
        <v>138</v>
      </c>
      <c r="F89" s="1">
        <f t="shared" si="7"/>
        <v>0.33716249140283605</v>
      </c>
      <c r="G89" s="8">
        <f>splint(Data!$C$5:$C$15,Data!$I$5:$I$15,Data!$E$15,E89)</f>
        <v>0.11563322580610642</v>
      </c>
      <c r="H89" s="9">
        <f t="shared" si="8"/>
        <v>0.13873815818329216</v>
      </c>
    </row>
    <row r="90" spans="4:8" x14ac:dyDescent="0.25">
      <c r="D90" s="1" t="str">
        <f t="shared" si="6"/>
        <v>c</v>
      </c>
      <c r="E90" s="1">
        <f t="shared" si="9"/>
        <v>139</v>
      </c>
      <c r="F90" s="1">
        <f t="shared" si="7"/>
        <v>0.34438273937632319</v>
      </c>
      <c r="G90" s="8">
        <f>splint(Data!$C$5:$C$15,Data!$I$5:$I$15,Data!$E$15,E90)</f>
        <v>0.11632683013794708</v>
      </c>
      <c r="H90" s="9">
        <f t="shared" si="8"/>
        <v>0.14036589172373717</v>
      </c>
    </row>
    <row r="91" spans="4:8" x14ac:dyDescent="0.25">
      <c r="D91" s="1" t="str">
        <f t="shared" si="6"/>
        <v>c</v>
      </c>
      <c r="E91" s="1">
        <f t="shared" si="9"/>
        <v>140</v>
      </c>
      <c r="F91" s="1">
        <f t="shared" si="7"/>
        <v>0.35155122885493562</v>
      </c>
      <c r="G91" s="8">
        <f>splint(Data!$C$5:$C$15,Data!$I$5:$I$15,Data!$E$15,E91)</f>
        <v>0.11714216</v>
      </c>
      <c r="H91" s="9">
        <f t="shared" si="8"/>
        <v>0.14201888218413294</v>
      </c>
    </row>
    <row r="92" spans="4:8" x14ac:dyDescent="0.25">
      <c r="D92" s="1" t="str">
        <f t="shared" si="6"/>
        <v>c</v>
      </c>
      <c r="E92" s="1">
        <f t="shared" si="9"/>
        <v>141</v>
      </c>
      <c r="F92" s="1">
        <f t="shared" si="7"/>
        <v>0.35866869662379963</v>
      </c>
      <c r="G92" s="8">
        <f>splint(Data!$C$5:$C$15,Data!$I$5:$I$15,Data!$E$15,E92)</f>
        <v>0.11807440721603664</v>
      </c>
      <c r="H92" s="9">
        <f t="shared" si="8"/>
        <v>0.14369056406297867</v>
      </c>
    </row>
    <row r="93" spans="4:8" x14ac:dyDescent="0.25">
      <c r="D93" s="1" t="str">
        <f t="shared" si="6"/>
        <v>c</v>
      </c>
      <c r="E93" s="1">
        <f t="shared" si="9"/>
        <v>142</v>
      </c>
      <c r="F93" s="1">
        <f t="shared" si="7"/>
        <v>0.36573586384689216</v>
      </c>
      <c r="G93" s="8">
        <f>splint(Data!$C$5:$C$15,Data!$I$5:$I$15,Data!$E$15,E93)</f>
        <v>0.11908866589694678</v>
      </c>
      <c r="H93" s="9">
        <f t="shared" si="8"/>
        <v>0.14537533120352761</v>
      </c>
    </row>
    <row r="94" spans="4:8" x14ac:dyDescent="0.25">
      <c r="D94" s="1" t="str">
        <f t="shared" si="6"/>
        <v>c</v>
      </c>
      <c r="E94" s="1">
        <f t="shared" si="9"/>
        <v>143</v>
      </c>
      <c r="F94" s="1">
        <f t="shared" si="7"/>
        <v>0.3727534365055386</v>
      </c>
      <c r="G94" s="8">
        <f>splint(Data!$C$5:$C$15,Data!$I$5:$I$15,Data!$E$15,E94)</f>
        <v>0.12014250572539982</v>
      </c>
      <c r="H94" s="9">
        <f t="shared" si="8"/>
        <v>0.14706840769118862</v>
      </c>
    </row>
    <row r="95" spans="4:8" x14ac:dyDescent="0.25">
      <c r="D95" s="1" t="str">
        <f t="shared" si="6"/>
        <v>c</v>
      </c>
      <c r="E95" s="1">
        <f t="shared" si="9"/>
        <v>144</v>
      </c>
      <c r="F95" s="1">
        <f t="shared" si="7"/>
        <v>0.37972210582163202</v>
      </c>
      <c r="G95" s="8">
        <f>splint(Data!$C$5:$C$15,Data!$I$5:$I$15,Data!$E$15,E95)</f>
        <v>0.12119349638406512</v>
      </c>
      <c r="H95" s="9">
        <f t="shared" si="8"/>
        <v>0.14876573374098317</v>
      </c>
    </row>
    <row r="96" spans="4:8" x14ac:dyDescent="0.25">
      <c r="D96" s="1" t="str">
        <f t="shared" si="6"/>
        <v>c</v>
      </c>
      <c r="E96" s="1">
        <f t="shared" si="9"/>
        <v>145</v>
      </c>
      <c r="F96" s="1">
        <f t="shared" si="7"/>
        <v>0.38664254866620584</v>
      </c>
      <c r="G96" s="8">
        <f>splint(Data!$C$5:$C$15,Data!$I$5:$I$15,Data!$E$15,E96)</f>
        <v>0.12219920755561209</v>
      </c>
      <c r="H96" s="9">
        <f t="shared" si="8"/>
        <v>0.15046386576893148</v>
      </c>
    </row>
    <row r="97" spans="4:8" x14ac:dyDescent="0.25">
      <c r="D97" s="1" t="str">
        <f t="shared" si="6"/>
        <v>c</v>
      </c>
      <c r="E97" s="1">
        <f t="shared" si="9"/>
        <v>146</v>
      </c>
      <c r="F97" s="1">
        <f t="shared" si="7"/>
        <v>0.39351542795396777</v>
      </c>
      <c r="G97" s="8">
        <f>splint(Data!$C$5:$C$15,Data!$I$5:$I$15,Data!$E$15,E97)</f>
        <v>0.12311720892271008</v>
      </c>
      <c r="H97" s="9">
        <f t="shared" si="8"/>
        <v>0.15215988948579048</v>
      </c>
    </row>
    <row r="98" spans="4:8" x14ac:dyDescent="0.25">
      <c r="D98" s="1" t="str">
        <f t="shared" si="6"/>
        <v>c</v>
      </c>
      <c r="E98" s="1">
        <f t="shared" si="9"/>
        <v>147</v>
      </c>
      <c r="F98" s="1">
        <f t="shared" si="7"/>
        <v>0.40034139302436772</v>
      </c>
      <c r="G98" s="8">
        <f>splint(Data!$C$5:$C$15,Data!$I$5:$I$15,Data!$E$15,E98)</f>
        <v>0.12390507016802849</v>
      </c>
      <c r="H98" s="9">
        <f t="shared" si="8"/>
        <v>0.1538513446998119</v>
      </c>
    </row>
    <row r="99" spans="4:8" x14ac:dyDescent="0.25">
      <c r="D99" s="1" t="str">
        <f t="shared" si="6"/>
        <v>c</v>
      </c>
      <c r="E99" s="1">
        <f t="shared" si="9"/>
        <v>148</v>
      </c>
      <c r="F99" s="1">
        <f t="shared" si="7"/>
        <v>0.40712108000974639</v>
      </c>
      <c r="G99" s="8">
        <f>splint(Data!$C$5:$C$15,Data!$I$5:$I$15,Data!$E$15,E99)</f>
        <v>0.12452036097423669</v>
      </c>
      <c r="H99" s="9">
        <f t="shared" si="8"/>
        <v>0.15553616049201602</v>
      </c>
    </row>
    <row r="100" spans="4:8" x14ac:dyDescent="0.25">
      <c r="D100" s="1" t="str">
        <f t="shared" si="6"/>
        <v>c</v>
      </c>
      <c r="E100" s="1">
        <f t="shared" si="9"/>
        <v>149</v>
      </c>
      <c r="F100" s="1">
        <f t="shared" si="7"/>
        <v>0.4138551121910905</v>
      </c>
      <c r="G100" s="8">
        <f>splint(Data!$C$5:$C$15,Data!$I$5:$I$15,Data!$E$15,E100)</f>
        <v>0.12492065102400406</v>
      </c>
      <c r="H100" s="9">
        <f t="shared" si="8"/>
        <v>0.15721259948108249</v>
      </c>
    </row>
    <row r="101" spans="4:8" x14ac:dyDescent="0.25">
      <c r="D101" s="1" t="str">
        <f t="shared" si="6"/>
        <v>c</v>
      </c>
      <c r="E101" s="1">
        <f t="shared" si="9"/>
        <v>150</v>
      </c>
      <c r="F101" s="1">
        <f t="shared" si="7"/>
        <v>0.42054410034188716</v>
      </c>
      <c r="G101" s="8">
        <f>splint(Data!$C$5:$C$15,Data!$I$5:$I$15,Data!$E$15,E101)</f>
        <v>0.12506350999999999</v>
      </c>
      <c r="H101" s="9">
        <f t="shared" si="8"/>
        <v>0.15887920999061766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4:I18"/>
  <sheetViews>
    <sheetView workbookViewId="0">
      <selection activeCell="D4" sqref="D4"/>
    </sheetView>
  </sheetViews>
  <sheetFormatPr defaultRowHeight="15" x14ac:dyDescent="0.25"/>
  <cols>
    <col min="3" max="13" width="9.5703125" bestFit="1" customWidth="1"/>
  </cols>
  <sheetData>
    <row r="4" spans="3:9" x14ac:dyDescent="0.25">
      <c r="G4" t="s">
        <v>9</v>
      </c>
      <c r="I4" t="s">
        <v>8</v>
      </c>
    </row>
    <row r="5" spans="3:9" x14ac:dyDescent="0.25">
      <c r="C5" s="7">
        <v>50</v>
      </c>
      <c r="D5" s="5">
        <v>0.70600399999999996</v>
      </c>
      <c r="G5" s="5">
        <v>0.70600399999999996</v>
      </c>
      <c r="I5" s="5">
        <v>0.35903157000000002</v>
      </c>
    </row>
    <row r="6" spans="3:9" x14ac:dyDescent="0.25">
      <c r="C6" s="7">
        <v>60</v>
      </c>
      <c r="D6" s="5">
        <v>0.60119743000000003</v>
      </c>
      <c r="G6" s="5">
        <v>0.60119743000000003</v>
      </c>
      <c r="I6" s="5">
        <v>0.32090558000000002</v>
      </c>
    </row>
    <row r="7" spans="3:9" x14ac:dyDescent="0.25">
      <c r="C7" s="7">
        <v>70</v>
      </c>
      <c r="D7" s="5">
        <v>0.49621976000000001</v>
      </c>
      <c r="G7" s="5">
        <v>0.49621976000000001</v>
      </c>
      <c r="I7" s="5">
        <v>0.28474049000000001</v>
      </c>
    </row>
    <row r="8" spans="3:9" x14ac:dyDescent="0.25">
      <c r="C8" s="7">
        <v>80</v>
      </c>
      <c r="D8" s="5">
        <v>0.38674608999999999</v>
      </c>
      <c r="G8" s="5">
        <v>0.38674608999999999</v>
      </c>
      <c r="I8" s="5">
        <v>0.24933491999999999</v>
      </c>
    </row>
    <row r="9" spans="3:9" x14ac:dyDescent="0.25">
      <c r="C9" s="7">
        <v>90</v>
      </c>
      <c r="D9" s="5">
        <v>0.27595210999999997</v>
      </c>
      <c r="G9" s="5">
        <v>0.27595210999999997</v>
      </c>
      <c r="I9" s="5">
        <v>0.21386258999999999</v>
      </c>
    </row>
    <row r="10" spans="3:9" x14ac:dyDescent="0.25">
      <c r="C10" s="7">
        <v>100</v>
      </c>
      <c r="D10" s="5">
        <v>0.17578862000000001</v>
      </c>
      <c r="G10" s="5">
        <v>0.17578862000000001</v>
      </c>
      <c r="I10" s="5">
        <v>0.17842859</v>
      </c>
    </row>
    <row r="11" spans="3:9" x14ac:dyDescent="0.25">
      <c r="C11" s="7">
        <v>110.00000000000001</v>
      </c>
      <c r="D11" s="5">
        <v>0.11240657</v>
      </c>
      <c r="G11" s="5">
        <v>0.11240657</v>
      </c>
      <c r="I11" s="5">
        <v>0.14577330999999999</v>
      </c>
    </row>
    <row r="12" spans="3:9" x14ac:dyDescent="0.25">
      <c r="C12" s="7">
        <v>120</v>
      </c>
      <c r="D12" s="5">
        <v>9.0318389999999998E-2</v>
      </c>
      <c r="G12" s="5">
        <v>9.0318389999999998E-2</v>
      </c>
      <c r="I12" s="5">
        <v>0.12258803</v>
      </c>
    </row>
    <row r="13" spans="3:9" x14ac:dyDescent="0.25">
      <c r="C13" s="7">
        <v>130</v>
      </c>
      <c r="D13" s="5">
        <v>8.7654060000000006E-2</v>
      </c>
      <c r="G13" s="5">
        <v>8.7654060000000006E-2</v>
      </c>
      <c r="I13" s="5">
        <v>0.11414056</v>
      </c>
    </row>
    <row r="14" spans="3:9" x14ac:dyDescent="0.25">
      <c r="C14" s="7">
        <v>140</v>
      </c>
      <c r="D14" s="5">
        <v>9.2630409999999996E-2</v>
      </c>
      <c r="G14" s="5">
        <v>9.2630409999999996E-2</v>
      </c>
      <c r="I14" s="5">
        <v>0.11714216</v>
      </c>
    </row>
    <row r="15" spans="3:9" x14ac:dyDescent="0.25">
      <c r="C15" s="7">
        <v>150</v>
      </c>
      <c r="D15" s="5">
        <v>9.931334E-2</v>
      </c>
      <c r="E15">
        <f>COUNT(D5:D15)</f>
        <v>11</v>
      </c>
      <c r="G15" s="5">
        <v>9.931334E-2</v>
      </c>
      <c r="I15" s="5">
        <v>0.12506350999999999</v>
      </c>
    </row>
    <row r="17" spans="4:5" x14ac:dyDescent="0.25">
      <c r="D17" t="s">
        <v>2</v>
      </c>
      <c r="E17" s="6">
        <v>3.8210077662771689E-3</v>
      </c>
    </row>
    <row r="18" spans="4:5" x14ac:dyDescent="0.25">
      <c r="D18" t="s">
        <v>3</v>
      </c>
      <c r="E18" s="6">
        <v>1.89E-2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SVI</vt:lpstr>
      <vt:lpstr>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EPerry</dc:creator>
  <cp:lastModifiedBy>Ellen Perry</cp:lastModifiedBy>
  <dcterms:created xsi:type="dcterms:W3CDTF">2017-04-21T21:02:27Z</dcterms:created>
  <dcterms:modified xsi:type="dcterms:W3CDTF">2020-04-30T19:26:14Z</dcterms:modified>
</cp:coreProperties>
</file>