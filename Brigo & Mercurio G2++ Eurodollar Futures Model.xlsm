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45" windowWidth="18195" windowHeight="12015"/>
  </bookViews>
  <sheets>
    <sheet name="Eurodollar Futures" sheetId="1" r:id="rId1"/>
    <sheet name="Market Data" sheetId="2" r:id="rId2"/>
    <sheet name="Sheet3" sheetId="3" r:id="rId3"/>
  </sheets>
  <functionGroups builtInGroupCount="17"/>
  <definedNames>
    <definedName name="solver_adj" localSheetId="0" hidden="1">'Eurodollar Futures'!$D$13:$D$17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'Eurodollar Futures'!$O$22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</definedNames>
  <calcPr calcId="145621"/>
</workbook>
</file>

<file path=xl/calcChain.xml><?xml version="1.0" encoding="utf-8"?>
<calcChain xmlns="http://schemas.openxmlformats.org/spreadsheetml/2006/main">
  <c r="D7" i="1" l="1"/>
  <c r="C7" i="1"/>
  <c r="G26" i="1" l="1"/>
  <c r="H20" i="1"/>
  <c r="H19" i="1"/>
  <c r="H18" i="1"/>
  <c r="H17" i="1"/>
  <c r="H16" i="1"/>
  <c r="H15" i="1"/>
  <c r="H14" i="1"/>
  <c r="H13" i="1"/>
  <c r="H12" i="1"/>
  <c r="H11" i="1"/>
  <c r="H10" i="1"/>
  <c r="H9" i="1"/>
  <c r="N9" i="1"/>
  <c r="I14" i="1"/>
  <c r="I12" i="1"/>
  <c r="I11" i="1"/>
  <c r="I16" i="1"/>
  <c r="I20" i="1"/>
  <c r="I17" i="1"/>
  <c r="I15" i="1"/>
  <c r="I13" i="1"/>
  <c r="I19" i="1"/>
  <c r="I18" i="1"/>
  <c r="I10" i="1"/>
  <c r="J10" i="1" l="1"/>
  <c r="J11" i="1"/>
  <c r="J12" i="1"/>
  <c r="J13" i="1"/>
  <c r="J14" i="1"/>
  <c r="J15" i="1"/>
  <c r="J16" i="1"/>
  <c r="J17" i="1"/>
  <c r="J18" i="1"/>
  <c r="J19" i="1"/>
  <c r="J20" i="1"/>
  <c r="J34" i="2"/>
  <c r="H29" i="2"/>
  <c r="H13" i="2"/>
  <c r="H26" i="2"/>
  <c r="H27" i="2"/>
  <c r="H11" i="2"/>
  <c r="H6" i="2"/>
  <c r="H20" i="2"/>
  <c r="H22" i="2"/>
  <c r="H25" i="2"/>
  <c r="H9" i="2"/>
  <c r="H14" i="2"/>
  <c r="H23" i="2"/>
  <c r="H7" i="2"/>
  <c r="H32" i="2"/>
  <c r="H16" i="2"/>
  <c r="H10" i="2"/>
  <c r="H21" i="2"/>
  <c r="H5" i="2"/>
  <c r="H4" i="2"/>
  <c r="H19" i="2"/>
  <c r="H30" i="2"/>
  <c r="H28" i="2"/>
  <c r="H12" i="2"/>
  <c r="H33" i="2"/>
  <c r="H17" i="2"/>
  <c r="H3" i="2"/>
  <c r="H31" i="2"/>
  <c r="H15" i="2"/>
  <c r="H18" i="2"/>
  <c r="H24" i="2"/>
  <c r="H8" i="2"/>
  <c r="D20" i="1"/>
  <c r="L14" i="1"/>
  <c r="K10" i="1"/>
  <c r="L19" i="1"/>
  <c r="K13" i="1"/>
  <c r="K14" i="1"/>
  <c r="I9" i="1"/>
  <c r="K18" i="1"/>
  <c r="K15" i="1"/>
  <c r="K12" i="1"/>
  <c r="K16" i="1"/>
  <c r="L16" i="1"/>
  <c r="D19" i="1"/>
  <c r="C19" i="1"/>
  <c r="L12" i="1"/>
  <c r="L20" i="1"/>
  <c r="L15" i="1"/>
  <c r="K11" i="1"/>
  <c r="K19" i="1"/>
  <c r="L17" i="1"/>
  <c r="L13" i="1"/>
  <c r="K17" i="1"/>
  <c r="L11" i="1"/>
  <c r="K20" i="1"/>
  <c r="L18" i="1"/>
  <c r="L10" i="1"/>
  <c r="J9" i="1" l="1"/>
  <c r="K9" i="1"/>
  <c r="N10" i="1"/>
  <c r="N20" i="1"/>
  <c r="N14" i="1"/>
  <c r="N11" i="1"/>
  <c r="N12" i="1"/>
  <c r="N19" i="1"/>
  <c r="C20" i="1"/>
  <c r="C22" i="1" s="1"/>
  <c r="N18" i="1"/>
  <c r="N17" i="1"/>
  <c r="N16" i="1"/>
  <c r="D22" i="1"/>
  <c r="N13" i="1"/>
  <c r="N15" i="1"/>
  <c r="L9" i="1"/>
  <c r="O16" i="1" l="1"/>
  <c r="O19" i="1"/>
  <c r="O14" i="1"/>
  <c r="O15" i="1"/>
  <c r="O17" i="1"/>
  <c r="O12" i="1"/>
  <c r="O20" i="1"/>
  <c r="O13" i="1"/>
  <c r="O18" i="1"/>
  <c r="O11" i="1"/>
  <c r="O10" i="1"/>
  <c r="O9" i="1"/>
  <c r="O22" i="1" l="1"/>
</calcChain>
</file>

<file path=xl/sharedStrings.xml><?xml version="1.0" encoding="utf-8"?>
<sst xmlns="http://schemas.openxmlformats.org/spreadsheetml/2006/main" count="177" uniqueCount="84">
  <si>
    <r>
      <t>T</t>
    </r>
    <r>
      <rPr>
        <vertAlign val="subscript"/>
        <sz val="9"/>
        <color theme="1"/>
        <rFont val="Verdana"/>
        <family val="2"/>
      </rPr>
      <t>1</t>
    </r>
  </si>
  <si>
    <r>
      <t>T</t>
    </r>
    <r>
      <rPr>
        <vertAlign val="subscript"/>
        <sz val="9"/>
        <color theme="1"/>
        <rFont val="Verdana"/>
        <family val="2"/>
      </rPr>
      <t>2</t>
    </r>
  </si>
  <si>
    <t>t</t>
  </si>
  <si>
    <r>
      <t>x</t>
    </r>
    <r>
      <rPr>
        <vertAlign val="subscript"/>
        <sz val="9"/>
        <color theme="1"/>
        <rFont val="Verdana"/>
        <family val="2"/>
      </rPr>
      <t>0</t>
    </r>
  </si>
  <si>
    <r>
      <t>y</t>
    </r>
    <r>
      <rPr>
        <vertAlign val="subscript"/>
        <sz val="9"/>
        <color theme="1"/>
        <rFont val="Verdana"/>
        <family val="2"/>
      </rPr>
      <t>0</t>
    </r>
  </si>
  <si>
    <t>a</t>
  </si>
  <si>
    <t>b</t>
  </si>
  <si>
    <t>s</t>
  </si>
  <si>
    <t>h</t>
  </si>
  <si>
    <t>r</t>
  </si>
  <si>
    <t>04/11/2014 Market Environment - Primary:Official</t>
  </si>
  <si>
    <t>Fitted Curve - Zero Rates</t>
  </si>
  <si>
    <t>Fitted Curve - Discount Factors</t>
  </si>
  <si>
    <t>Fitted Swap Rates by Tenor</t>
  </si>
  <si>
    <t>Fitted Zero Rates by Tenor</t>
  </si>
  <si>
    <t>InstrType</t>
  </si>
  <si>
    <t>EndTenorOrCode</t>
  </si>
  <si>
    <t>RateOrPrice</t>
  </si>
  <si>
    <t>Volatility</t>
  </si>
  <si>
    <t>Date</t>
  </si>
  <si>
    <t>Value</t>
  </si>
  <si>
    <t>Tenor</t>
  </si>
  <si>
    <t>Deposit</t>
  </si>
  <si>
    <t>1d</t>
  </si>
  <si>
    <t>1y</t>
  </si>
  <si>
    <t>1w</t>
  </si>
  <si>
    <t>2y</t>
  </si>
  <si>
    <t>2d</t>
  </si>
  <si>
    <t>2w</t>
  </si>
  <si>
    <t>3y</t>
  </si>
  <si>
    <t>3w</t>
  </si>
  <si>
    <t>4y</t>
  </si>
  <si>
    <t>1m</t>
  </si>
  <si>
    <t>5y</t>
  </si>
  <si>
    <t>2m</t>
  </si>
  <si>
    <t>6y</t>
  </si>
  <si>
    <t>3m</t>
  </si>
  <si>
    <t>7y</t>
  </si>
  <si>
    <t>Future</t>
  </si>
  <si>
    <t>M14</t>
  </si>
  <si>
    <t>8y</t>
  </si>
  <si>
    <t>U14</t>
  </si>
  <si>
    <t>9y</t>
  </si>
  <si>
    <t>4m</t>
  </si>
  <si>
    <t>Z14</t>
  </si>
  <si>
    <t>10y</t>
  </si>
  <si>
    <t>5m</t>
  </si>
  <si>
    <t>H15</t>
  </si>
  <si>
    <t>11y</t>
  </si>
  <si>
    <t>6m</t>
  </si>
  <si>
    <t>M15</t>
  </si>
  <si>
    <t>12y</t>
  </si>
  <si>
    <t>7m</t>
  </si>
  <si>
    <t>U15</t>
  </si>
  <si>
    <t>15y</t>
  </si>
  <si>
    <t>8m</t>
  </si>
  <si>
    <t>Z15</t>
  </si>
  <si>
    <t>20y</t>
  </si>
  <si>
    <t>9m</t>
  </si>
  <si>
    <t>H16</t>
  </si>
  <si>
    <t>25y</t>
  </si>
  <si>
    <t>10m</t>
  </si>
  <si>
    <t>M16</t>
  </si>
  <si>
    <t>30y</t>
  </si>
  <si>
    <t>11m</t>
  </si>
  <si>
    <t>U16</t>
  </si>
  <si>
    <t>40y</t>
  </si>
  <si>
    <t>Z16</t>
  </si>
  <si>
    <t>50y</t>
  </si>
  <si>
    <t>H17</t>
  </si>
  <si>
    <t>Swap</t>
  </si>
  <si>
    <r>
      <t>P(0,T</t>
    </r>
    <r>
      <rPr>
        <vertAlign val="subscript"/>
        <sz val="9"/>
        <color theme="1"/>
        <rFont val="Verdana"/>
        <family val="2"/>
      </rPr>
      <t>1</t>
    </r>
    <r>
      <rPr>
        <sz val="9"/>
        <color theme="1"/>
        <rFont val="Verdana"/>
        <family val="2"/>
      </rPr>
      <t>)</t>
    </r>
  </si>
  <si>
    <r>
      <t>P(0,T</t>
    </r>
    <r>
      <rPr>
        <vertAlign val="subscript"/>
        <sz val="9"/>
        <color theme="1"/>
        <rFont val="Verdana"/>
        <family val="2"/>
      </rPr>
      <t>2</t>
    </r>
    <r>
      <rPr>
        <sz val="9"/>
        <color theme="1"/>
        <rFont val="Verdana"/>
        <family val="2"/>
      </rPr>
      <t>)</t>
    </r>
  </si>
  <si>
    <t>Today</t>
  </si>
  <si>
    <t>T</t>
  </si>
  <si>
    <t>Eurodollar future</t>
  </si>
  <si>
    <t>Pseudo-calibration</t>
  </si>
  <si>
    <t>Contract</t>
  </si>
  <si>
    <t>Futures</t>
  </si>
  <si>
    <t>Model</t>
  </si>
  <si>
    <t>Err</t>
  </si>
  <si>
    <t>Brigo &amp; Mercurio G2++ Eurodollar Futures Model</t>
  </si>
  <si>
    <t>IMM Date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</si>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</sst>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0"/>
    <numFmt numFmtId="166" formatCode="0.000000"/>
  </numFmts>
  <fonts count="6" x14ac:knownFonts="1">
    <font>
      <sz val="9"/>
      <color theme="1"/>
      <name val="Verdana"/>
      <family val="2"/>
    </font>
    <font>
      <vertAlign val="subscript"/>
      <sz val="9"/>
      <color theme="1"/>
      <name val="Verdana"/>
      <family val="2"/>
    </font>
    <font>
      <sz val="9"/>
      <color theme="1"/>
      <name val="Symbol"/>
      <family val="1"/>
      <charset val="2"/>
    </font>
    <font>
      <b/>
      <sz val="10"/>
      <color indexed="18"/>
      <name val="Arial"/>
      <family val="2"/>
    </font>
    <font>
      <sz val="10"/>
      <name val="Arial"/>
      <family val="2"/>
    </font>
    <font>
      <b/>
      <i/>
      <sz val="14"/>
      <color theme="1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23"/>
      </top>
      <bottom style="medium">
        <color indexed="2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4" fillId="0" borderId="0"/>
  </cellStyleXfs>
  <cellXfs count="31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3" fillId="0" borderId="1" xfId="0" applyFont="1" applyFill="1" applyBorder="1" applyAlignment="1">
      <alignment horizontal="left"/>
    </xf>
    <xf numFmtId="0" fontId="3" fillId="0" borderId="1" xfId="0" applyFont="1" applyFill="1" applyBorder="1" applyAlignment="1">
      <alignment horizontal="centerContinuous"/>
    </xf>
    <xf numFmtId="0" fontId="3" fillId="0" borderId="2" xfId="0" applyFont="1" applyFill="1" applyBorder="1" applyAlignment="1">
      <alignment horizontal="center"/>
    </xf>
    <xf numFmtId="0" fontId="0" fillId="0" borderId="3" xfId="0" applyFill="1" applyBorder="1" applyAlignment="1"/>
    <xf numFmtId="14" fontId="0" fillId="0" borderId="3" xfId="0" applyNumberFormat="1" applyFill="1" applyBorder="1" applyAlignment="1"/>
    <xf numFmtId="0" fontId="4" fillId="0" borderId="0" xfId="1" applyFont="1" applyFill="1" applyBorder="1" applyAlignment="1">
      <alignment horizontal="left"/>
    </xf>
    <xf numFmtId="14" fontId="0" fillId="0" borderId="4" xfId="0" applyNumberFormat="1" applyFill="1" applyBorder="1" applyAlignment="1"/>
    <xf numFmtId="0" fontId="0" fillId="0" borderId="4" xfId="0" applyFill="1" applyBorder="1" applyAlignment="1"/>
    <xf numFmtId="164" fontId="0" fillId="2" borderId="0" xfId="0" applyNumberFormat="1" applyFill="1"/>
    <xf numFmtId="166" fontId="0" fillId="2" borderId="0" xfId="0" applyNumberFormat="1" applyFill="1"/>
    <xf numFmtId="14" fontId="0" fillId="0" borderId="0" xfId="0" applyNumberFormat="1"/>
    <xf numFmtId="164" fontId="0" fillId="0" borderId="3" xfId="0" applyNumberFormat="1" applyFill="1" applyBorder="1" applyAlignment="1"/>
    <xf numFmtId="164" fontId="0" fillId="0" borderId="4" xfId="0" applyNumberFormat="1" applyFill="1" applyBorder="1" applyAlignment="1"/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0" fontId="0" fillId="0" borderId="0" xfId="0" applyAlignment="1">
      <alignment horizontal="center"/>
    </xf>
    <xf numFmtId="166" fontId="0" fillId="0" borderId="0" xfId="0" applyNumberFormat="1" applyAlignment="1"/>
    <xf numFmtId="166" fontId="0" fillId="0" borderId="0" xfId="0" applyNumberFormat="1"/>
    <xf numFmtId="14" fontId="0" fillId="0" borderId="0" xfId="0" applyNumberFormat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</cellXfs>
  <cellStyles count="2">
    <cellStyle name="Normal" xfId="0" builtinId="0"/>
    <cellStyle name="Normal_Template_CMS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26"/>
  <sheetViews>
    <sheetView tabSelected="1" workbookViewId="0">
      <selection activeCell="E36" sqref="E36"/>
    </sheetView>
  </sheetViews>
  <sheetFormatPr defaultRowHeight="11.25" x14ac:dyDescent="0.15"/>
  <cols>
    <col min="3" max="3" width="9.125" bestFit="1" customWidth="1"/>
    <col min="4" max="4" width="10.125" bestFit="1" customWidth="1"/>
    <col min="6" max="6" width="9.125" bestFit="1" customWidth="1"/>
    <col min="8" max="8" width="10.125" bestFit="1" customWidth="1"/>
    <col min="9" max="10" width="9.375" bestFit="1" customWidth="1"/>
  </cols>
  <sheetData>
    <row r="1" spans="2:15" ht="12" thickBot="1" x14ac:dyDescent="0.2"/>
    <row r="2" spans="2:15" x14ac:dyDescent="0.15">
      <c r="G2" s="22" t="s">
        <v>81</v>
      </c>
      <c r="H2" s="23"/>
      <c r="I2" s="23"/>
      <c r="J2" s="23"/>
      <c r="K2" s="23"/>
      <c r="L2" s="23"/>
      <c r="M2" s="23"/>
      <c r="N2" s="24"/>
    </row>
    <row r="3" spans="2:15" x14ac:dyDescent="0.15">
      <c r="B3" s="16" t="s">
        <v>73</v>
      </c>
      <c r="C3" s="13">
        <v>41740</v>
      </c>
      <c r="G3" s="25"/>
      <c r="H3" s="26"/>
      <c r="I3" s="26"/>
      <c r="J3" s="26"/>
      <c r="K3" s="26"/>
      <c r="L3" s="26"/>
      <c r="M3" s="26"/>
      <c r="N3" s="27"/>
    </row>
    <row r="4" spans="2:15" ht="12" thickBot="1" x14ac:dyDescent="0.2">
      <c r="B4" s="16"/>
      <c r="G4" s="28"/>
      <c r="H4" s="29"/>
      <c r="I4" s="29"/>
      <c r="J4" s="29"/>
      <c r="K4" s="29"/>
      <c r="L4" s="29"/>
      <c r="M4" s="29"/>
      <c r="N4" s="30"/>
    </row>
    <row r="5" spans="2:15" ht="12" x14ac:dyDescent="0.2">
      <c r="B5" s="17" t="s">
        <v>2</v>
      </c>
      <c r="C5" s="1">
        <v>0.25</v>
      </c>
      <c r="D5" s="1">
        <v>0.25</v>
      </c>
    </row>
    <row r="6" spans="2:15" ht="14.25" x14ac:dyDescent="0.25">
      <c r="B6" s="16" t="s">
        <v>0</v>
      </c>
      <c r="C6" s="11">
        <v>0.94399999999999995</v>
      </c>
      <c r="D6" s="11">
        <v>1</v>
      </c>
    </row>
    <row r="7" spans="2:15" ht="14.25" x14ac:dyDescent="0.25">
      <c r="B7" s="16" t="s">
        <v>1</v>
      </c>
      <c r="C7" s="1">
        <f>C6+C5</f>
        <v>1.194</v>
      </c>
      <c r="D7" s="1">
        <f>D6+D5</f>
        <v>1.25</v>
      </c>
      <c r="G7" t="s">
        <v>76</v>
      </c>
    </row>
    <row r="8" spans="2:15" ht="14.25" x14ac:dyDescent="0.25">
      <c r="B8" s="16"/>
      <c r="F8" s="18" t="s">
        <v>83</v>
      </c>
      <c r="G8" s="18" t="s">
        <v>77</v>
      </c>
      <c r="H8" s="18" t="s">
        <v>82</v>
      </c>
      <c r="I8" s="18" t="s">
        <v>0</v>
      </c>
      <c r="J8" s="18" t="s">
        <v>1</v>
      </c>
      <c r="K8" s="18" t="s">
        <v>71</v>
      </c>
      <c r="L8" s="18" t="s">
        <v>72</v>
      </c>
      <c r="M8" s="18" t="s">
        <v>78</v>
      </c>
      <c r="N8" s="18" t="s">
        <v>79</v>
      </c>
      <c r="O8" s="18" t="s">
        <v>80</v>
      </c>
    </row>
    <row r="9" spans="2:15" ht="14.25" x14ac:dyDescent="0.25">
      <c r="B9" s="16" t="s">
        <v>3</v>
      </c>
      <c r="C9" s="11">
        <v>0</v>
      </c>
      <c r="D9" s="11">
        <v>0</v>
      </c>
      <c r="F9" s="21">
        <v>41791</v>
      </c>
      <c r="G9" s="18" t="s">
        <v>39</v>
      </c>
      <c r="H9" s="13">
        <f>LOOKUP(F9,DATE(YEAR(F9),{0,3,6,9,12;3,6,9,12,15},22)-WEEKDAY(DATE(YEAR(F9),{0,3,6,9,12;3,6,9,12,15},4)))</f>
        <v>41808</v>
      </c>
      <c r="I9" s="19">
        <f>YearFraction($C$3,H9,2)</f>
        <v>0.18888888888888888</v>
      </c>
      <c r="J9" s="19">
        <f>I9+$D$5</f>
        <v>0.43888888888888888</v>
      </c>
      <c r="K9" s="2">
        <f>splint('Market Data'!$H$3:$H$33,'Market Data'!$J$3:$J$33,'Market Data'!$J$34,I9)</f>
        <v>0.99968379028916388</v>
      </c>
      <c r="L9" s="2">
        <f>splint('Market Data'!$H$3:$H$33,'Market Data'!$J$3:$J$33,'Market Data'!$J$34,J9)</f>
        <v>0.99934470243726703</v>
      </c>
      <c r="M9" s="1">
        <v>99.77</v>
      </c>
      <c r="N9" s="1">
        <f>eurodollarfuture(K9,L9,$D$9,$D$10,$D$11,I9,J9,$D$13,$D$14,$D$15,$D$16,$D$17)</f>
        <v>99.862395697602409</v>
      </c>
      <c r="O9" s="20">
        <f>(M9-N9)^2</f>
        <v>8.5369649354365383E-3</v>
      </c>
    </row>
    <row r="10" spans="2:15" ht="14.25" x14ac:dyDescent="0.25">
      <c r="B10" s="16" t="s">
        <v>4</v>
      </c>
      <c r="C10" s="11">
        <v>0</v>
      </c>
      <c r="D10" s="11">
        <v>0</v>
      </c>
      <c r="F10" s="21">
        <v>41883</v>
      </c>
      <c r="G10" s="18" t="s">
        <v>41</v>
      </c>
      <c r="H10" s="13">
        <f>LOOKUP(F10,DATE(YEAR(F10),{0,3,6,9,12;3,6,9,12,15},22)-WEEKDAY(DATE(YEAR(F10),{0,3,6,9,12;3,6,9,12,15},4)))</f>
        <v>41899</v>
      </c>
      <c r="I10" s="19">
        <f t="shared" ref="I10:I20" si="0">YearFraction($C$3,H10,2)</f>
        <v>0.44166666666666665</v>
      </c>
      <c r="J10" s="19">
        <f t="shared" ref="J10:J20" si="1">I10+$D$5</f>
        <v>0.69166666666666665</v>
      </c>
      <c r="K10" s="2">
        <f>splint('Market Data'!$H$3:$H$33,'Market Data'!$J$3:$J$33,'Market Data'!$J$34,I10)</f>
        <v>0.99934007035263495</v>
      </c>
      <c r="L10" s="2">
        <f>splint('Market Data'!$H$3:$H$33,'Market Data'!$J$3:$J$33,'Market Data'!$J$34,J10)</f>
        <v>0.99882287644762369</v>
      </c>
      <c r="M10" s="1">
        <v>99.754999999999995</v>
      </c>
      <c r="N10" s="1">
        <f t="shared" ref="N10:N20" si="2">eurodollarfuture(K10,L10,$D$9,$D$10,$D$11,I10,J10,$D$13,$D$14,$D$15,$D$16,$D$17)</f>
        <v>99.788253152454857</v>
      </c>
      <c r="O10" s="20">
        <f t="shared" ref="O10:O20" si="3">(M10-N10)^2</f>
        <v>1.1057721481862533E-3</v>
      </c>
    </row>
    <row r="11" spans="2:15" x14ac:dyDescent="0.15">
      <c r="B11" s="16" t="s">
        <v>2</v>
      </c>
      <c r="C11" s="11">
        <v>0</v>
      </c>
      <c r="D11" s="11">
        <v>0</v>
      </c>
      <c r="F11" s="21">
        <v>41974</v>
      </c>
      <c r="G11" s="18" t="s">
        <v>44</v>
      </c>
      <c r="H11" s="13">
        <f>LOOKUP(F11,DATE(YEAR(F11),{0,3,6,9,12;3,6,9,12,15},22)-WEEKDAY(DATE(YEAR(F11),{0,3,6,9,12;3,6,9,12,15},4)))</f>
        <v>41990</v>
      </c>
      <c r="I11" s="19">
        <f t="shared" si="0"/>
        <v>0.69444444444444442</v>
      </c>
      <c r="J11" s="19">
        <f t="shared" si="1"/>
        <v>0.94444444444444442</v>
      </c>
      <c r="K11" s="2">
        <f>splint('Market Data'!$H$3:$H$33,'Market Data'!$J$3:$J$33,'Market Data'!$J$34,I11)</f>
        <v>0.99881632401687603</v>
      </c>
      <c r="L11" s="2">
        <f>splint('Market Data'!$H$3:$H$33,'Market Data'!$J$3:$J$33,'Market Data'!$J$34,J11)</f>
        <v>0.99816164444208999</v>
      </c>
      <c r="M11" s="1">
        <v>99.72</v>
      </c>
      <c r="N11" s="1">
        <f t="shared" si="2"/>
        <v>99.730522753462395</v>
      </c>
      <c r="O11" s="20">
        <f t="shared" si="3"/>
        <v>1.1072834043037531E-4</v>
      </c>
    </row>
    <row r="12" spans="2:15" x14ac:dyDescent="0.15">
      <c r="B12" s="16"/>
      <c r="F12" s="21">
        <v>42064</v>
      </c>
      <c r="G12" s="18" t="s">
        <v>47</v>
      </c>
      <c r="H12" s="13">
        <f>LOOKUP(F12,DATE(YEAR(F12),{0,3,6,9,12;3,6,9,12,15},22)-WEEKDAY(DATE(YEAR(F12),{0,3,6,9,12;3,6,9,12,15},4)))</f>
        <v>42081</v>
      </c>
      <c r="I12" s="19">
        <f t="shared" si="0"/>
        <v>0.94722222222222219</v>
      </c>
      <c r="J12" s="19">
        <f t="shared" si="1"/>
        <v>1.1972222222222222</v>
      </c>
      <c r="K12" s="2">
        <f>splint('Market Data'!$H$3:$H$33,'Market Data'!$J$3:$J$33,'Market Data'!$J$34,I12)</f>
        <v>0.99815341562469362</v>
      </c>
      <c r="L12" s="2">
        <f>splint('Market Data'!$H$3:$H$33,'Market Data'!$J$3:$J$33,'Market Data'!$J$34,J12)</f>
        <v>0.99727103490749258</v>
      </c>
      <c r="M12" s="1">
        <v>99.635000000000005</v>
      </c>
      <c r="N12" s="1">
        <f t="shared" si="2"/>
        <v>99.636908389127669</v>
      </c>
      <c r="O12" s="20">
        <f t="shared" si="3"/>
        <v>3.6419490625848946E-6</v>
      </c>
    </row>
    <row r="13" spans="2:15" x14ac:dyDescent="0.15">
      <c r="B13" s="16" t="s">
        <v>5</v>
      </c>
      <c r="C13" s="12">
        <v>2.3400000000000001E-2</v>
      </c>
      <c r="D13" s="12">
        <v>2.0394388436223085E-2</v>
      </c>
      <c r="F13" s="21">
        <v>42156</v>
      </c>
      <c r="G13" s="18" t="s">
        <v>50</v>
      </c>
      <c r="H13" s="13">
        <f>LOOKUP(F13,DATE(YEAR(F13),{0,3,6,9,12;3,6,9,12,15},22)-WEEKDAY(DATE(YEAR(F13),{0,3,6,9,12;3,6,9,12,15},4)))</f>
        <v>42172</v>
      </c>
      <c r="I13" s="19">
        <f t="shared" si="0"/>
        <v>1.2</v>
      </c>
      <c r="J13" s="19">
        <f t="shared" si="1"/>
        <v>1.45</v>
      </c>
      <c r="K13" s="2">
        <f>splint('Market Data'!$H$3:$H$33,'Market Data'!$J$3:$J$33,'Market Data'!$J$34,I13)</f>
        <v>0.99725925969744578</v>
      </c>
      <c r="L13" s="2">
        <f>splint('Market Data'!$H$3:$H$33,'Market Data'!$J$3:$J$33,'Market Data'!$J$34,J13)</f>
        <v>0.99597189738687819</v>
      </c>
      <c r="M13" s="1">
        <v>99.474999999999994</v>
      </c>
      <c r="N13" s="1">
        <f t="shared" si="2"/>
        <v>99.472211988932187</v>
      </c>
      <c r="O13" s="20">
        <f t="shared" si="3"/>
        <v>7.773005714213804E-6</v>
      </c>
    </row>
    <row r="14" spans="2:15" x14ac:dyDescent="0.15">
      <c r="B14" s="16" t="s">
        <v>6</v>
      </c>
      <c r="C14" s="12">
        <v>1.5E-3</v>
      </c>
      <c r="D14" s="12">
        <v>1.1898466706598576</v>
      </c>
      <c r="F14" s="21">
        <v>42248</v>
      </c>
      <c r="G14" s="18" t="s">
        <v>53</v>
      </c>
      <c r="H14" s="13">
        <f>LOOKUP(F14,DATE(YEAR(F14),{0,3,6,9,12;3,6,9,12,15},22)-WEEKDAY(DATE(YEAR(F14),{0,3,6,9,12;3,6,9,12,15},4)))</f>
        <v>42263</v>
      </c>
      <c r="I14" s="19">
        <f t="shared" si="0"/>
        <v>1.4527777777777777</v>
      </c>
      <c r="J14" s="19">
        <f t="shared" si="1"/>
        <v>1.7027777777777777</v>
      </c>
      <c r="K14" s="2">
        <f>splint('Market Data'!$H$3:$H$33,'Market Data'!$J$3:$J$33,'Market Data'!$J$34,I14)</f>
        <v>0.99595490434794287</v>
      </c>
      <c r="L14" s="2">
        <f>splint('Market Data'!$H$3:$H$33,'Market Data'!$J$3:$J$33,'Market Data'!$J$34,J14)</f>
        <v>0.99415271844908182</v>
      </c>
      <c r="M14" s="1">
        <v>99.27</v>
      </c>
      <c r="N14" s="1">
        <f t="shared" si="2"/>
        <v>99.262944649495651</v>
      </c>
      <c r="O14" s="20">
        <f t="shared" si="3"/>
        <v>4.9777970739160043E-5</v>
      </c>
    </row>
    <row r="15" spans="2:15" ht="12" x14ac:dyDescent="0.2">
      <c r="B15" s="17" t="s">
        <v>7</v>
      </c>
      <c r="C15" s="12">
        <v>8.1428999999999998E-3</v>
      </c>
      <c r="D15" s="12">
        <v>2.9536477508208077E-3</v>
      </c>
      <c r="F15" s="21">
        <v>42339</v>
      </c>
      <c r="G15" s="18" t="s">
        <v>56</v>
      </c>
      <c r="H15" s="13">
        <f>LOOKUP(F15,DATE(YEAR(F15),{0,3,6,9,12;3,6,9,12,15},22)-WEEKDAY(DATE(YEAR(F15),{0,3,6,9,12;3,6,9,12,15},4)))</f>
        <v>42354</v>
      </c>
      <c r="I15" s="19">
        <f t="shared" si="0"/>
        <v>1.7055555555555555</v>
      </c>
      <c r="J15" s="19">
        <f t="shared" si="1"/>
        <v>1.9555555555555555</v>
      </c>
      <c r="K15" s="2">
        <f>splint('Market Data'!$H$3:$H$33,'Market Data'!$J$3:$J$33,'Market Data'!$J$34,I15)</f>
        <v>0.99412947359662995</v>
      </c>
      <c r="L15" s="2">
        <f>splint('Market Data'!$H$3:$H$33,'Market Data'!$J$3:$J$33,'Market Data'!$J$34,J15)</f>
        <v>0.99172428160503734</v>
      </c>
      <c r="M15" s="1">
        <v>99.025000000000006</v>
      </c>
      <c r="N15" s="1">
        <f t="shared" si="2"/>
        <v>99.017099916362824</v>
      </c>
      <c r="O15" s="20">
        <f t="shared" si="3"/>
        <v>6.241132147446865E-5</v>
      </c>
    </row>
    <row r="16" spans="2:15" ht="12" x14ac:dyDescent="0.2">
      <c r="B16" s="17" t="s">
        <v>8</v>
      </c>
      <c r="C16" s="12">
        <v>2.0948999999999998E-3</v>
      </c>
      <c r="D16" s="12">
        <v>2.3192861588971631E-2</v>
      </c>
      <c r="F16" s="21">
        <v>42430</v>
      </c>
      <c r="G16" s="18" t="s">
        <v>59</v>
      </c>
      <c r="H16" s="13">
        <f>LOOKUP(F16,DATE(YEAR(F16),{0,3,6,9,12;3,6,9,12,15},22)-WEEKDAY(DATE(YEAR(F16),{0,3,6,9,12;3,6,9,12,15},4)))</f>
        <v>42445</v>
      </c>
      <c r="I16" s="19">
        <f t="shared" si="0"/>
        <v>1.9583333333333333</v>
      </c>
      <c r="J16" s="19">
        <f t="shared" si="1"/>
        <v>2.208333333333333</v>
      </c>
      <c r="K16" s="2">
        <f>splint('Market Data'!$H$3:$H$33,'Market Data'!$J$3:$J$33,'Market Data'!$J$34,I16)</f>
        <v>0.99169400577399702</v>
      </c>
      <c r="L16" s="2">
        <f>splint('Market Data'!$H$3:$H$33,'Market Data'!$J$3:$J$33,'Market Data'!$J$34,J16)</f>
        <v>0.98863138245368287</v>
      </c>
      <c r="M16" s="1">
        <v>98.754999999999995</v>
      </c>
      <c r="N16" s="1">
        <f t="shared" si="2"/>
        <v>98.747462814800713</v>
      </c>
      <c r="O16" s="20">
        <f t="shared" si="3"/>
        <v>5.6809160728286242E-5</v>
      </c>
    </row>
    <row r="17" spans="2:15" ht="12" x14ac:dyDescent="0.2">
      <c r="B17" s="17" t="s">
        <v>9</v>
      </c>
      <c r="C17" s="12">
        <v>-0.25359999999999999</v>
      </c>
      <c r="D17" s="12">
        <v>-0.53096320459690993</v>
      </c>
      <c r="F17" s="21">
        <v>42522</v>
      </c>
      <c r="G17" s="18" t="s">
        <v>62</v>
      </c>
      <c r="H17" s="13">
        <f>LOOKUP(F17,DATE(YEAR(F17),{0,3,6,9,12;3,6,9,12,15},22)-WEEKDAY(DATE(YEAR(F17),{0,3,6,9,12;3,6,9,12,15},4)))</f>
        <v>42536</v>
      </c>
      <c r="I17" s="19">
        <f t="shared" si="0"/>
        <v>2.2111111111111112</v>
      </c>
      <c r="J17" s="19">
        <f t="shared" si="1"/>
        <v>2.4611111111111112</v>
      </c>
      <c r="K17" s="2">
        <f>splint('Market Data'!$H$3:$H$33,'Market Data'!$J$3:$J$33,'Market Data'!$J$34,I17)</f>
        <v>0.98859346574293783</v>
      </c>
      <c r="L17" s="2">
        <f>splint('Market Data'!$H$3:$H$33,'Market Data'!$J$3:$J$33,'Market Data'!$J$34,J17)</f>
        <v>0.98483535395460153</v>
      </c>
      <c r="M17" s="1">
        <v>98.47</v>
      </c>
      <c r="N17" s="1">
        <f t="shared" si="2"/>
        <v>98.459781948939451</v>
      </c>
      <c r="O17" s="20">
        <f t="shared" si="3"/>
        <v>1.0440856747596305E-4</v>
      </c>
    </row>
    <row r="18" spans="2:15" x14ac:dyDescent="0.15">
      <c r="B18" s="16"/>
      <c r="F18" s="21">
        <v>42614</v>
      </c>
      <c r="G18" s="18" t="s">
        <v>65</v>
      </c>
      <c r="H18" s="13">
        <f>LOOKUP(F18,DATE(YEAR(F18),{0,3,6,9,12;3,6,9,12,15},22)-WEEKDAY(DATE(YEAR(F18),{0,3,6,9,12;3,6,9,12,15},4)))</f>
        <v>42634</v>
      </c>
      <c r="I18" s="19">
        <f t="shared" si="0"/>
        <v>2.4833333333333334</v>
      </c>
      <c r="J18" s="19">
        <f t="shared" si="1"/>
        <v>2.7333333333333334</v>
      </c>
      <c r="K18" s="2">
        <f>splint('Market Data'!$H$3:$H$33,'Market Data'!$J$3:$J$33,'Market Data'!$J$34,I18)</f>
        <v>0.98447005301906054</v>
      </c>
      <c r="L18" s="2">
        <f>splint('Market Data'!$H$3:$H$33,'Market Data'!$J$3:$J$33,'Market Data'!$J$34,J18)</f>
        <v>0.98003469033804869</v>
      </c>
      <c r="M18" s="1">
        <v>98.194999999999993</v>
      </c>
      <c r="N18" s="1">
        <f t="shared" si="2"/>
        <v>98.175566809127446</v>
      </c>
      <c r="O18" s="20">
        <f t="shared" si="3"/>
        <v>3.7764890748885789E-4</v>
      </c>
    </row>
    <row r="19" spans="2:15" ht="14.25" x14ac:dyDescent="0.25">
      <c r="B19" s="16" t="s">
        <v>71</v>
      </c>
      <c r="C19" s="2">
        <f>splint('Market Data'!$H$3:$H$33,'Market Data'!$J$3:$J$33,'Market Data'!$J$34,C6)</f>
        <v>0.9981629586390609</v>
      </c>
      <c r="D19" s="2">
        <f>splint('Market Data'!$H$3:$H$33,'Market Data'!$J$3:$J$33,'Market Data'!$J$34,D6)</f>
        <v>0.99799176422029801</v>
      </c>
      <c r="F19" s="21">
        <v>42705</v>
      </c>
      <c r="G19" s="18" t="s">
        <v>67</v>
      </c>
      <c r="H19" s="13">
        <f>LOOKUP(F19,DATE(YEAR(F19),{0,3,6,9,12;3,6,9,12,15},22)-WEEKDAY(DATE(YEAR(F19),{0,3,6,9,12;3,6,9,12,15},4)))</f>
        <v>42725</v>
      </c>
      <c r="I19" s="19">
        <f t="shared" si="0"/>
        <v>2.7361111111111112</v>
      </c>
      <c r="J19" s="19">
        <f t="shared" si="1"/>
        <v>2.9861111111111112</v>
      </c>
      <c r="K19" s="2">
        <f>splint('Market Data'!$H$3:$H$33,'Market Data'!$J$3:$J$33,'Market Data'!$J$34,I19)</f>
        <v>0.97998212274401197</v>
      </c>
      <c r="L19" s="2">
        <f>splint('Market Data'!$H$3:$H$33,'Market Data'!$J$3:$J$33,'Market Data'!$J$34,J19)</f>
        <v>0.97495236307337096</v>
      </c>
      <c r="M19" s="1">
        <v>97.935000000000002</v>
      </c>
      <c r="N19" s="1">
        <f t="shared" si="2"/>
        <v>97.922049414230372</v>
      </c>
      <c r="O19" s="20">
        <f t="shared" si="3"/>
        <v>1.6771767177654699E-4</v>
      </c>
    </row>
    <row r="20" spans="2:15" ht="14.25" x14ac:dyDescent="0.25">
      <c r="B20" s="16" t="s">
        <v>72</v>
      </c>
      <c r="C20" s="2">
        <f>splint('Market Data'!$H$3:$H$33,'Market Data'!$J$3:$J$33,'Market Data'!$J$34,C7)</f>
        <v>0.99728462936458973</v>
      </c>
      <c r="D20" s="2">
        <f>splint('Market Data'!$H$3:$H$33,'Market Data'!$J$3:$J$33,'Market Data'!$J$34,D7)</f>
        <v>0.99703827539528522</v>
      </c>
      <c r="F20" s="21">
        <v>42795</v>
      </c>
      <c r="G20" s="18" t="s">
        <v>69</v>
      </c>
      <c r="H20" s="13">
        <f>LOOKUP(F20,DATE(YEAR(F20),{0,3,6,9,12;3,6,9,12,15},22)-WEEKDAY(DATE(YEAR(F20),{0,3,6,9,12;3,6,9,12,15},4)))</f>
        <v>42809</v>
      </c>
      <c r="I20" s="19">
        <f t="shared" si="0"/>
        <v>2.9694444444444446</v>
      </c>
      <c r="J20" s="19">
        <f t="shared" si="1"/>
        <v>3.2194444444444446</v>
      </c>
      <c r="K20" s="2">
        <f>splint('Market Data'!$H$3:$H$33,'Market Data'!$J$3:$J$33,'Market Data'!$J$34,I20)</f>
        <v>0.97530660198695462</v>
      </c>
      <c r="L20" s="2">
        <f>splint('Market Data'!$H$3:$H$33,'Market Data'!$J$3:$J$33,'Market Data'!$J$34,J20)</f>
        <v>0.96974395696033477</v>
      </c>
      <c r="M20" s="1">
        <v>97.71</v>
      </c>
      <c r="N20" s="1">
        <f t="shared" si="2"/>
        <v>97.69100562888147</v>
      </c>
      <c r="O20" s="20">
        <f t="shared" si="3"/>
        <v>3.6078613418820518E-4</v>
      </c>
    </row>
    <row r="21" spans="2:15" x14ac:dyDescent="0.15">
      <c r="B21" s="16"/>
    </row>
    <row r="22" spans="2:15" x14ac:dyDescent="0.15">
      <c r="B22" s="16" t="s">
        <v>75</v>
      </c>
      <c r="C22" s="2">
        <f>eurodollarfuture(C19,C20,C9,C10,C11,C6,C7,C13,C14,C15,C16,C17)</f>
        <v>99.643587629752247</v>
      </c>
      <c r="D22" s="2">
        <f>eurodollarfuture(D19,D20,D9,D10,D11,D6,D7,D13,D14,D15,D16,D17)</f>
        <v>99.607929682656064</v>
      </c>
      <c r="O22" s="20">
        <f>SUM(O9:O20)</f>
        <v>1.0944440112701452E-2</v>
      </c>
    </row>
    <row r="25" spans="2:15" x14ac:dyDescent="0.15">
      <c r="D25" s="13"/>
    </row>
    <row r="26" spans="2:15" x14ac:dyDescent="0.15">
      <c r="D26" s="13"/>
      <c r="G26" t="str">
        <f ca="1">CELL("filename")</f>
        <v>F:\UConn\Spring 2020\5661\Final Lecture\[EurodollarsG2pp.xlsm]Eurodollar Futures</v>
      </c>
    </row>
  </sheetData>
  <mergeCells count="1">
    <mergeCell ref="G2:N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6"/>
  <sheetViews>
    <sheetView workbookViewId="0">
      <selection activeCell="C9" sqref="C9"/>
    </sheetView>
  </sheetViews>
  <sheetFormatPr defaultRowHeight="11.25" x14ac:dyDescent="0.15"/>
  <cols>
    <col min="6" max="6" width="10.125" bestFit="1" customWidth="1"/>
    <col min="8" max="8" width="9.125" bestFit="1" customWidth="1"/>
    <col min="9" max="9" width="10.125" bestFit="1" customWidth="1"/>
  </cols>
  <sheetData>
    <row r="1" spans="1:16" ht="12.75" x14ac:dyDescent="0.2">
      <c r="A1" s="3" t="s">
        <v>10</v>
      </c>
      <c r="B1" s="4"/>
      <c r="C1" s="4"/>
      <c r="D1" s="4"/>
      <c r="F1" s="3" t="s">
        <v>11</v>
      </c>
      <c r="G1" s="4"/>
      <c r="I1" s="3" t="s">
        <v>12</v>
      </c>
      <c r="J1" s="4"/>
      <c r="L1" s="3" t="s">
        <v>13</v>
      </c>
      <c r="M1" s="4"/>
      <c r="O1" s="3" t="s">
        <v>14</v>
      </c>
      <c r="P1" s="4"/>
    </row>
    <row r="2" spans="1:16" ht="13.5" thickBot="1" x14ac:dyDescent="0.25">
      <c r="A2" s="5" t="s">
        <v>15</v>
      </c>
      <c r="B2" s="5" t="s">
        <v>16</v>
      </c>
      <c r="C2" s="5" t="s">
        <v>17</v>
      </c>
      <c r="D2" s="5" t="s">
        <v>18</v>
      </c>
      <c r="F2" s="5" t="s">
        <v>19</v>
      </c>
      <c r="G2" s="5" t="s">
        <v>20</v>
      </c>
      <c r="H2" s="5" t="s">
        <v>74</v>
      </c>
      <c r="I2" s="5" t="s">
        <v>19</v>
      </c>
      <c r="J2" s="5" t="s">
        <v>20</v>
      </c>
      <c r="L2" s="5" t="s">
        <v>21</v>
      </c>
      <c r="M2" s="5" t="s">
        <v>20</v>
      </c>
      <c r="O2" s="5" t="s">
        <v>21</v>
      </c>
      <c r="P2" s="5" t="s">
        <v>20</v>
      </c>
    </row>
    <row r="3" spans="1:16" ht="12.75" x14ac:dyDescent="0.2">
      <c r="A3" s="6" t="s">
        <v>22</v>
      </c>
      <c r="B3" s="6" t="s">
        <v>23</v>
      </c>
      <c r="C3" s="6">
        <v>1.3749999999999999E-3</v>
      </c>
      <c r="D3" s="6"/>
      <c r="F3" s="7">
        <v>41751</v>
      </c>
      <c r="G3" s="6">
        <v>1.5208112745356799E-3</v>
      </c>
      <c r="H3" s="14">
        <f>YearFraction('Eurodollar Futures'!$C$3,I3,2)</f>
        <v>0</v>
      </c>
      <c r="I3" s="7">
        <v>41740</v>
      </c>
      <c r="J3" s="6">
        <v>1</v>
      </c>
      <c r="L3" s="8" t="s">
        <v>24</v>
      </c>
      <c r="M3" s="8">
        <v>2.1099617335012372E-3</v>
      </c>
      <c r="N3" s="8"/>
      <c r="O3" s="8" t="s">
        <v>23</v>
      </c>
      <c r="P3" s="8">
        <v>1.5218529260939331E-3</v>
      </c>
    </row>
    <row r="4" spans="1:16" ht="12.75" x14ac:dyDescent="0.2">
      <c r="A4" s="6" t="s">
        <v>22</v>
      </c>
      <c r="B4" s="6" t="s">
        <v>25</v>
      </c>
      <c r="C4" s="6">
        <v>1.5E-3</v>
      </c>
      <c r="D4" s="6"/>
      <c r="F4" s="7">
        <v>41758</v>
      </c>
      <c r="G4" s="6">
        <v>1.56022060645035E-3</v>
      </c>
      <c r="H4" s="14">
        <f>YearFraction('Eurodollar Futures'!$C$3,I4,2)</f>
        <v>3.0555555555555555E-2</v>
      </c>
      <c r="I4" s="7">
        <v>41751</v>
      </c>
      <c r="J4" s="6">
        <v>0.99995416838175299</v>
      </c>
      <c r="L4" s="8" t="s">
        <v>26</v>
      </c>
      <c r="M4" s="8">
        <v>4.6766883815873624E-3</v>
      </c>
      <c r="N4" s="8"/>
      <c r="O4" s="8" t="s">
        <v>27</v>
      </c>
      <c r="P4" s="8">
        <v>1.5218529260898638E-3</v>
      </c>
    </row>
    <row r="5" spans="1:16" ht="12.75" x14ac:dyDescent="0.2">
      <c r="A5" s="6" t="s">
        <v>22</v>
      </c>
      <c r="B5" s="6" t="s">
        <v>28</v>
      </c>
      <c r="C5" s="6">
        <v>1.5499999999999999E-3</v>
      </c>
      <c r="D5" s="6"/>
      <c r="F5" s="7">
        <v>41765</v>
      </c>
      <c r="G5" s="6">
        <v>1.4356144529595E-3</v>
      </c>
      <c r="H5" s="14">
        <f>YearFraction('Eurodollar Futures'!$C$3,I5,2)</f>
        <v>0.05</v>
      </c>
      <c r="I5" s="7">
        <v>41758</v>
      </c>
      <c r="J5" s="6">
        <v>0.999923060573918</v>
      </c>
      <c r="L5" s="8" t="s">
        <v>29</v>
      </c>
      <c r="M5" s="8">
        <v>8.9901362620914832E-3</v>
      </c>
      <c r="N5" s="8"/>
      <c r="O5" s="8" t="s">
        <v>25</v>
      </c>
      <c r="P5" s="8">
        <v>1.5218529260822425E-3</v>
      </c>
    </row>
    <row r="6" spans="1:16" ht="12.75" x14ac:dyDescent="0.2">
      <c r="A6" s="6" t="s">
        <v>22</v>
      </c>
      <c r="B6" s="6" t="s">
        <v>30</v>
      </c>
      <c r="C6" s="6">
        <v>1.4E-3</v>
      </c>
      <c r="D6" s="6"/>
      <c r="F6" s="7">
        <v>41774</v>
      </c>
      <c r="G6" s="6">
        <v>1.6996445912918999E-3</v>
      </c>
      <c r="H6" s="14">
        <f>YearFraction('Eurodollar Futures'!$C$3,I6,2)</f>
        <v>6.9444444444444448E-2</v>
      </c>
      <c r="I6" s="7">
        <v>41765</v>
      </c>
      <c r="J6" s="6">
        <v>0.99990167507715999</v>
      </c>
      <c r="L6" s="8" t="s">
        <v>31</v>
      </c>
      <c r="M6" s="8">
        <v>1.3195612172056269E-2</v>
      </c>
      <c r="N6" s="8"/>
      <c r="O6" s="8" t="s">
        <v>28</v>
      </c>
      <c r="P6" s="8">
        <v>1.543583145775824E-3</v>
      </c>
    </row>
    <row r="7" spans="1:16" ht="12.75" x14ac:dyDescent="0.2">
      <c r="A7" s="6" t="s">
        <v>22</v>
      </c>
      <c r="B7" s="6" t="s">
        <v>32</v>
      </c>
      <c r="C7" s="6">
        <v>1.6999999999999999E-3</v>
      </c>
      <c r="D7" s="6"/>
      <c r="F7" s="7">
        <v>41806</v>
      </c>
      <c r="G7" s="6">
        <v>1.71108323263313E-3</v>
      </c>
      <c r="H7" s="14">
        <f>YearFraction('Eurodollar Futures'!$C$3,I7,2)</f>
        <v>9.4444444444444442E-2</v>
      </c>
      <c r="I7" s="7">
        <v>41774</v>
      </c>
      <c r="J7" s="6">
        <v>0.99984168947461505</v>
      </c>
      <c r="L7" s="8" t="s">
        <v>33</v>
      </c>
      <c r="M7" s="8">
        <v>1.6854373663433269E-2</v>
      </c>
      <c r="N7" s="8"/>
      <c r="O7" s="8" t="s">
        <v>30</v>
      </c>
      <c r="P7" s="8">
        <v>1.4976711383762257E-3</v>
      </c>
    </row>
    <row r="8" spans="1:16" ht="12.75" x14ac:dyDescent="0.2">
      <c r="A8" s="6" t="s">
        <v>22</v>
      </c>
      <c r="B8" s="6" t="s">
        <v>34</v>
      </c>
      <c r="C8" s="6">
        <v>1.6999999999999999E-3</v>
      </c>
      <c r="D8" s="6"/>
      <c r="F8" s="7">
        <v>41900</v>
      </c>
      <c r="G8" s="6">
        <v>1.5166050273334999E-3</v>
      </c>
      <c r="H8" s="14">
        <f>YearFraction('Eurodollar Futures'!$C$3,I8,2)</f>
        <v>0.18333333333333332</v>
      </c>
      <c r="I8" s="7">
        <v>41806</v>
      </c>
      <c r="J8" s="6">
        <v>0.99969064650800799</v>
      </c>
      <c r="L8" s="8" t="s">
        <v>35</v>
      </c>
      <c r="M8" s="8">
        <v>1.9911159932015671E-2</v>
      </c>
      <c r="N8" s="8"/>
      <c r="O8" s="8" t="s">
        <v>32</v>
      </c>
      <c r="P8" s="8">
        <v>1.6029528125726857E-3</v>
      </c>
    </row>
    <row r="9" spans="1:16" ht="12.75" x14ac:dyDescent="0.2">
      <c r="A9" s="6" t="s">
        <v>22</v>
      </c>
      <c r="B9" s="6" t="s">
        <v>36</v>
      </c>
      <c r="C9" s="6">
        <v>2E-3</v>
      </c>
      <c r="D9" s="6"/>
      <c r="F9" s="7">
        <v>41990</v>
      </c>
      <c r="G9" s="6">
        <v>1.72919053803135E-3</v>
      </c>
      <c r="H9" s="14">
        <f>YearFraction('Eurodollar Futures'!$C$3,I9,2)</f>
        <v>0.44444444444444442</v>
      </c>
      <c r="I9" s="7">
        <v>41900</v>
      </c>
      <c r="J9" s="6">
        <v>0.99933540777663998</v>
      </c>
      <c r="L9" s="8" t="s">
        <v>37</v>
      </c>
      <c r="M9" s="8">
        <v>2.2389008817610436E-2</v>
      </c>
      <c r="N9" s="8"/>
      <c r="O9" s="8" t="s">
        <v>34</v>
      </c>
      <c r="P9" s="8">
        <v>1.7112583319754328E-3</v>
      </c>
    </row>
    <row r="10" spans="1:16" ht="12.75" x14ac:dyDescent="0.2">
      <c r="A10" s="6" t="s">
        <v>38</v>
      </c>
      <c r="B10" s="6" t="s">
        <v>39</v>
      </c>
      <c r="C10" s="6">
        <v>99.77</v>
      </c>
      <c r="D10" s="6">
        <v>66.91</v>
      </c>
      <c r="F10" s="7">
        <v>42080</v>
      </c>
      <c r="G10" s="6">
        <v>1.9753450107642101E-3</v>
      </c>
      <c r="H10" s="14">
        <f>YearFraction('Eurodollar Futures'!$C$3,I10,2)</f>
        <v>0.69444444444444442</v>
      </c>
      <c r="I10" s="7">
        <v>41990</v>
      </c>
      <c r="J10" s="6">
        <v>0.99881632401687603</v>
      </c>
      <c r="L10" s="8" t="s">
        <v>40</v>
      </c>
      <c r="M10" s="8">
        <v>2.4411895480062954E-2</v>
      </c>
      <c r="N10" s="8"/>
      <c r="O10" s="8" t="s">
        <v>36</v>
      </c>
      <c r="P10" s="8">
        <v>1.6212515088052373E-3</v>
      </c>
    </row>
    <row r="11" spans="1:16" ht="12.75" x14ac:dyDescent="0.2">
      <c r="A11" s="6" t="s">
        <v>38</v>
      </c>
      <c r="B11" s="6" t="s">
        <v>41</v>
      </c>
      <c r="C11" s="6">
        <v>99.754999999999995</v>
      </c>
      <c r="D11" s="6">
        <v>66.91</v>
      </c>
      <c r="F11" s="7">
        <v>42173</v>
      </c>
      <c r="G11" s="6">
        <v>2.32349289543343E-3</v>
      </c>
      <c r="H11" s="14">
        <f>YearFraction('Eurodollar Futures'!$C$3,I11,2)</f>
        <v>0.94444444444444442</v>
      </c>
      <c r="I11" s="7">
        <v>42080</v>
      </c>
      <c r="J11" s="6">
        <v>0.99816164444208999</v>
      </c>
      <c r="L11" s="8" t="s">
        <v>42</v>
      </c>
      <c r="M11" s="8">
        <v>2.6054028354921609E-2</v>
      </c>
      <c r="N11" s="8"/>
      <c r="O11" s="8" t="s">
        <v>43</v>
      </c>
      <c r="P11" s="8">
        <v>1.5602044375186434E-3</v>
      </c>
    </row>
    <row r="12" spans="1:16" ht="12.75" x14ac:dyDescent="0.2">
      <c r="A12" s="6" t="s">
        <v>38</v>
      </c>
      <c r="B12" s="6" t="s">
        <v>44</v>
      </c>
      <c r="C12" s="6">
        <v>99.72</v>
      </c>
      <c r="D12" s="6">
        <v>66.91</v>
      </c>
      <c r="F12" s="7">
        <v>42264</v>
      </c>
      <c r="G12" s="6">
        <v>2.8353146050367601E-3</v>
      </c>
      <c r="H12" s="14">
        <f>YearFraction('Eurodollar Futures'!$C$3,I12,2)</f>
        <v>1.2027777777777777</v>
      </c>
      <c r="I12" s="7">
        <v>42173</v>
      </c>
      <c r="J12" s="6">
        <v>0.99724743247537895</v>
      </c>
      <c r="L12" s="8" t="s">
        <v>45</v>
      </c>
      <c r="M12" s="8">
        <v>2.7429256894136302E-2</v>
      </c>
      <c r="N12" s="8"/>
      <c r="O12" s="8" t="s">
        <v>46</v>
      </c>
      <c r="P12" s="8">
        <v>1.5238953951188206E-3</v>
      </c>
    </row>
    <row r="13" spans="1:16" ht="12.75" x14ac:dyDescent="0.2">
      <c r="A13" s="6" t="s">
        <v>38</v>
      </c>
      <c r="B13" s="6" t="s">
        <v>47</v>
      </c>
      <c r="C13" s="6">
        <v>99.635000000000005</v>
      </c>
      <c r="D13" s="6">
        <v>66.91</v>
      </c>
      <c r="F13" s="7">
        <v>42354</v>
      </c>
      <c r="G13" s="6">
        <v>3.5000918134046001E-3</v>
      </c>
      <c r="H13" s="14">
        <f>YearFraction('Eurodollar Futures'!$C$3,I13,2)</f>
        <v>1.4555555555555555</v>
      </c>
      <c r="I13" s="7">
        <v>42264</v>
      </c>
      <c r="J13" s="6">
        <v>0.99593784869329605</v>
      </c>
      <c r="L13" s="8" t="s">
        <v>48</v>
      </c>
      <c r="M13" s="8">
        <v>2.8614162495469098E-2</v>
      </c>
      <c r="N13" s="8"/>
      <c r="O13" s="8" t="s">
        <v>49</v>
      </c>
      <c r="P13" s="8">
        <v>1.5919124028763475E-3</v>
      </c>
    </row>
    <row r="14" spans="1:16" ht="12.75" x14ac:dyDescent="0.2">
      <c r="A14" s="6" t="s">
        <v>38</v>
      </c>
      <c r="B14" s="6" t="s">
        <v>50</v>
      </c>
      <c r="C14" s="6">
        <v>99.474999999999994</v>
      </c>
      <c r="D14" s="6">
        <v>66.91</v>
      </c>
      <c r="F14" s="7">
        <v>42445</v>
      </c>
      <c r="G14" s="6">
        <v>4.3182250198904402E-3</v>
      </c>
      <c r="H14" s="14">
        <f>YearFraction('Eurodollar Futures'!$C$3,I14,2)</f>
        <v>1.7055555555555555</v>
      </c>
      <c r="I14" s="7">
        <v>42354</v>
      </c>
      <c r="J14" s="6">
        <v>0.99412947359662995</v>
      </c>
      <c r="L14" s="8" t="s">
        <v>51</v>
      </c>
      <c r="M14" s="8">
        <v>2.9589084452104057E-2</v>
      </c>
      <c r="N14" s="8"/>
      <c r="O14" s="8" t="s">
        <v>52</v>
      </c>
      <c r="P14" s="8">
        <v>1.6667543940763524E-3</v>
      </c>
    </row>
    <row r="15" spans="1:16" ht="12.75" x14ac:dyDescent="0.2">
      <c r="A15" s="6" t="s">
        <v>38</v>
      </c>
      <c r="B15" s="6" t="s">
        <v>53</v>
      </c>
      <c r="C15" s="6">
        <v>99.27</v>
      </c>
      <c r="D15" s="6">
        <v>66.91</v>
      </c>
      <c r="F15" s="7">
        <v>42537</v>
      </c>
      <c r="G15" s="6">
        <v>5.2714481955824398E-3</v>
      </c>
      <c r="H15" s="14">
        <f>YearFraction('Eurodollar Futures'!$C$3,I15,2)</f>
        <v>1.9583333333333333</v>
      </c>
      <c r="I15" s="7">
        <v>42445</v>
      </c>
      <c r="J15" s="6">
        <v>0.99169400577399702</v>
      </c>
      <c r="L15" s="8" t="s">
        <v>54</v>
      </c>
      <c r="M15" s="8">
        <v>3.1713978121128736E-2</v>
      </c>
      <c r="N15" s="8"/>
      <c r="O15" s="8" t="s">
        <v>55</v>
      </c>
      <c r="P15" s="8">
        <v>1.7210751941409443E-3</v>
      </c>
    </row>
    <row r="16" spans="1:16" ht="12.75" x14ac:dyDescent="0.2">
      <c r="A16" s="6" t="s">
        <v>38</v>
      </c>
      <c r="B16" s="6" t="s">
        <v>56</v>
      </c>
      <c r="C16" s="6">
        <v>99.025000000000006</v>
      </c>
      <c r="D16" s="6">
        <v>66.91</v>
      </c>
      <c r="F16" s="7">
        <v>42628</v>
      </c>
      <c r="G16" s="6">
        <v>6.3188902981804003E-3</v>
      </c>
      <c r="H16" s="14">
        <f>YearFraction('Eurodollar Futures'!$C$3,I16,2)</f>
        <v>2.213888888888889</v>
      </c>
      <c r="I16" s="7">
        <v>42537</v>
      </c>
      <c r="J16" s="6">
        <v>0.98855546064063304</v>
      </c>
      <c r="L16" s="8" t="s">
        <v>57</v>
      </c>
      <c r="M16" s="8">
        <v>3.3514900279978728E-2</v>
      </c>
      <c r="N16" s="8"/>
      <c r="O16" s="8" t="s">
        <v>58</v>
      </c>
      <c r="P16" s="8">
        <v>1.8149707175096794E-3</v>
      </c>
    </row>
    <row r="17" spans="1:16" ht="12.75" x14ac:dyDescent="0.2">
      <c r="A17" s="6" t="s">
        <v>38</v>
      </c>
      <c r="B17" s="6" t="s">
        <v>59</v>
      </c>
      <c r="C17" s="6">
        <v>98.754999999999995</v>
      </c>
      <c r="D17" s="6">
        <v>66.91</v>
      </c>
      <c r="F17" s="7">
        <v>42725</v>
      </c>
      <c r="G17" s="6">
        <v>7.4930422308399003E-3</v>
      </c>
      <c r="H17" s="14">
        <f>YearFraction('Eurodollar Futures'!$C$3,I17,2)</f>
        <v>2.4666666666666668</v>
      </c>
      <c r="I17" s="7">
        <v>42628</v>
      </c>
      <c r="J17" s="6">
        <v>0.98474448155220795</v>
      </c>
      <c r="L17" s="8" t="s">
        <v>60</v>
      </c>
      <c r="M17" s="8">
        <v>3.4318541360563136E-2</v>
      </c>
      <c r="N17" s="8"/>
      <c r="O17" s="8" t="s">
        <v>61</v>
      </c>
      <c r="P17" s="8">
        <v>1.9006723473896474E-3</v>
      </c>
    </row>
    <row r="18" spans="1:16" ht="12.75" x14ac:dyDescent="0.2">
      <c r="A18" s="6" t="s">
        <v>38</v>
      </c>
      <c r="B18" s="6" t="s">
        <v>62</v>
      </c>
      <c r="C18" s="6">
        <v>98.47</v>
      </c>
      <c r="D18" s="6">
        <v>66.91</v>
      </c>
      <c r="F18" s="7">
        <v>42815</v>
      </c>
      <c r="G18" s="6">
        <v>8.6128685217933699E-3</v>
      </c>
      <c r="H18" s="14">
        <f>YearFraction('Eurodollar Futures'!$C$3,I18,2)</f>
        <v>2.7361111111111112</v>
      </c>
      <c r="I18" s="7">
        <v>42725</v>
      </c>
      <c r="J18" s="6">
        <v>0.97998212274401197</v>
      </c>
      <c r="L18" s="8" t="s">
        <v>63</v>
      </c>
      <c r="M18" s="8">
        <v>3.4683509130918402E-2</v>
      </c>
      <c r="N18" s="8"/>
      <c r="O18" s="8" t="s">
        <v>64</v>
      </c>
      <c r="P18" s="8">
        <v>1.9644064163559221E-3</v>
      </c>
    </row>
    <row r="19" spans="1:16" ht="12.75" x14ac:dyDescent="0.2">
      <c r="A19" s="6" t="s">
        <v>38</v>
      </c>
      <c r="B19" s="6" t="s">
        <v>65</v>
      </c>
      <c r="C19" s="6">
        <v>98.194999999999993</v>
      </c>
      <c r="D19" s="6">
        <v>66.91</v>
      </c>
      <c r="F19" s="7">
        <v>42901</v>
      </c>
      <c r="G19" s="6">
        <v>9.7005533083207602E-3</v>
      </c>
      <c r="H19" s="14">
        <f>YearFraction('Eurodollar Futures'!$C$3,I19,2)</f>
        <v>2.9861111111111112</v>
      </c>
      <c r="I19" s="7">
        <v>42815</v>
      </c>
      <c r="J19" s="6">
        <v>0.97495236307337096</v>
      </c>
      <c r="L19" s="8" t="s">
        <v>66</v>
      </c>
      <c r="M19" s="8">
        <v>3.5116892552770243E-2</v>
      </c>
      <c r="N19" s="8"/>
      <c r="O19" s="8" t="s">
        <v>24</v>
      </c>
      <c r="P19" s="8">
        <v>2.08779777037536E-3</v>
      </c>
    </row>
    <row r="20" spans="1:16" ht="12.75" x14ac:dyDescent="0.2">
      <c r="A20" s="6" t="s">
        <v>38</v>
      </c>
      <c r="B20" s="6" t="s">
        <v>67</v>
      </c>
      <c r="C20" s="6">
        <v>97.935000000000002</v>
      </c>
      <c r="D20" s="6">
        <v>66.91</v>
      </c>
      <c r="F20" s="7">
        <v>43206</v>
      </c>
      <c r="G20" s="6">
        <v>1.3251153232611401E-2</v>
      </c>
      <c r="H20" s="14">
        <f>YearFraction('Eurodollar Futures'!$C$3,I20,2)</f>
        <v>3.2250000000000001</v>
      </c>
      <c r="I20" s="7">
        <v>42901</v>
      </c>
      <c r="J20" s="6">
        <v>0.96961544690704704</v>
      </c>
      <c r="L20" s="8" t="s">
        <v>68</v>
      </c>
      <c r="M20" s="8">
        <v>3.5356403721785813E-2</v>
      </c>
      <c r="N20" s="8"/>
      <c r="O20" s="8" t="s">
        <v>26</v>
      </c>
      <c r="P20" s="8">
        <v>4.6150954526672375E-3</v>
      </c>
    </row>
    <row r="21" spans="1:16" ht="12.75" x14ac:dyDescent="0.2">
      <c r="A21" s="6" t="s">
        <v>38</v>
      </c>
      <c r="B21" s="6" t="s">
        <v>69</v>
      </c>
      <c r="C21" s="6">
        <v>97.71</v>
      </c>
      <c r="D21" s="6">
        <v>66.91</v>
      </c>
      <c r="F21" s="7">
        <v>43570</v>
      </c>
      <c r="G21" s="6">
        <v>1.7011981769428801E-2</v>
      </c>
      <c r="H21" s="14">
        <f>YearFraction('Eurodollar Futures'!$C$3,I21,2)</f>
        <v>4.072222222222222</v>
      </c>
      <c r="I21" s="7">
        <v>43206</v>
      </c>
      <c r="J21" s="6">
        <v>0.94816907819195895</v>
      </c>
      <c r="L21" s="8"/>
      <c r="M21" s="8"/>
      <c r="N21" s="8"/>
      <c r="O21" s="8" t="s">
        <v>29</v>
      </c>
      <c r="P21" s="8">
        <v>8.9003095730185704E-3</v>
      </c>
    </row>
    <row r="22" spans="1:16" ht="12.75" x14ac:dyDescent="0.2">
      <c r="A22" s="6" t="s">
        <v>70</v>
      </c>
      <c r="B22" s="6" t="s">
        <v>31</v>
      </c>
      <c r="C22" s="6">
        <v>1.3194000000000001E-2</v>
      </c>
      <c r="D22" s="6"/>
      <c r="F22" s="7">
        <v>43936</v>
      </c>
      <c r="G22" s="6">
        <v>2.01887518228272E-2</v>
      </c>
      <c r="H22" s="14">
        <f>YearFraction('Eurodollar Futures'!$C$3,I22,2)</f>
        <v>5.083333333333333</v>
      </c>
      <c r="I22" s="7">
        <v>43570</v>
      </c>
      <c r="J22" s="6">
        <v>0.91824324591874396</v>
      </c>
      <c r="L22" s="8"/>
      <c r="M22" s="8"/>
      <c r="N22" s="8"/>
      <c r="O22" s="8" t="s">
        <v>31</v>
      </c>
      <c r="P22" s="8">
        <v>1.321394319258311E-2</v>
      </c>
    </row>
    <row r="23" spans="1:16" ht="12.75" x14ac:dyDescent="0.2">
      <c r="A23" s="6" t="s">
        <v>70</v>
      </c>
      <c r="B23" s="6" t="s">
        <v>33</v>
      </c>
      <c r="C23" s="6">
        <v>1.6853E-2</v>
      </c>
      <c r="D23" s="6"/>
      <c r="F23" s="7">
        <v>44301</v>
      </c>
      <c r="G23" s="6">
        <v>2.2806453129258601E-2</v>
      </c>
      <c r="H23" s="14">
        <f>YearFraction('Eurodollar Futures'!$C$3,I23,2)</f>
        <v>6.1</v>
      </c>
      <c r="I23" s="7">
        <v>43936</v>
      </c>
      <c r="J23" s="6">
        <v>0.88562259792899201</v>
      </c>
      <c r="L23" s="8"/>
      <c r="M23" s="8"/>
      <c r="N23" s="8"/>
      <c r="O23" s="8" t="s">
        <v>33</v>
      </c>
      <c r="P23" s="8">
        <v>1.6990431165473326E-2</v>
      </c>
    </row>
    <row r="24" spans="1:16" ht="12.75" x14ac:dyDescent="0.2">
      <c r="A24" s="6" t="s">
        <v>70</v>
      </c>
      <c r="B24" s="6" t="s">
        <v>35</v>
      </c>
      <c r="C24" s="6">
        <v>1.9910000000000001E-2</v>
      </c>
      <c r="D24" s="6"/>
      <c r="F24" s="7">
        <v>44670</v>
      </c>
      <c r="G24" s="6">
        <v>2.49708597828554E-2</v>
      </c>
      <c r="H24" s="14">
        <f>YearFraction('Eurodollar Futures'!$C$3,I24,2)</f>
        <v>7.1138888888888889</v>
      </c>
      <c r="I24" s="7">
        <v>44301</v>
      </c>
      <c r="J24" s="6">
        <v>0.85212668447809803</v>
      </c>
      <c r="L24" s="8"/>
      <c r="M24" s="8"/>
      <c r="N24" s="8"/>
      <c r="O24" s="8" t="s">
        <v>35</v>
      </c>
      <c r="P24" s="8">
        <v>2.0173574753982522E-2</v>
      </c>
    </row>
    <row r="25" spans="1:16" ht="12.75" x14ac:dyDescent="0.2">
      <c r="A25" s="6" t="s">
        <v>70</v>
      </c>
      <c r="B25" s="6" t="s">
        <v>37</v>
      </c>
      <c r="C25" s="6">
        <v>2.2388000000000002E-2</v>
      </c>
      <c r="D25" s="6"/>
      <c r="F25" s="7">
        <v>45033</v>
      </c>
      <c r="G25" s="6">
        <v>2.6749319384986599E-2</v>
      </c>
      <c r="H25" s="14">
        <f>YearFraction('Eurodollar Futures'!$C$3,I25,2)</f>
        <v>8.1388888888888893</v>
      </c>
      <c r="I25" s="7">
        <v>44670</v>
      </c>
      <c r="J25" s="6">
        <v>0.81836157942563004</v>
      </c>
      <c r="L25" s="8"/>
      <c r="M25" s="8"/>
      <c r="N25" s="8"/>
      <c r="O25" s="8" t="s">
        <v>37</v>
      </c>
      <c r="P25" s="8">
        <v>2.279742005609247E-2</v>
      </c>
    </row>
    <row r="26" spans="1:16" ht="12.75" x14ac:dyDescent="0.2">
      <c r="A26" s="6" t="s">
        <v>70</v>
      </c>
      <c r="B26" s="6" t="s">
        <v>40</v>
      </c>
      <c r="C26" s="6">
        <v>2.4410999999999999E-2</v>
      </c>
      <c r="D26" s="6"/>
      <c r="F26" s="7">
        <v>45397</v>
      </c>
      <c r="G26" s="6">
        <v>2.8248698374151501E-2</v>
      </c>
      <c r="H26" s="14">
        <f>YearFraction('Eurodollar Futures'!$C$3,I26,2)</f>
        <v>9.1472222222222221</v>
      </c>
      <c r="I26" s="7">
        <v>45033</v>
      </c>
      <c r="J26" s="6">
        <v>0.78558221502234404</v>
      </c>
      <c r="L26" s="8"/>
      <c r="M26" s="8"/>
      <c r="N26" s="8"/>
      <c r="O26" s="8" t="s">
        <v>40</v>
      </c>
      <c r="P26" s="8">
        <v>2.4946807485829847E-2</v>
      </c>
    </row>
    <row r="27" spans="1:16" ht="12.75" x14ac:dyDescent="0.2">
      <c r="A27" s="6" t="s">
        <v>70</v>
      </c>
      <c r="B27" s="6" t="s">
        <v>42</v>
      </c>
      <c r="C27" s="6">
        <v>2.6053E-2</v>
      </c>
      <c r="D27" s="6"/>
      <c r="F27" s="7">
        <v>45762</v>
      </c>
      <c r="G27" s="6">
        <v>2.9564218239551798E-2</v>
      </c>
      <c r="H27" s="14">
        <f>YearFraction('Eurodollar Futures'!$C$3,I27,2)</f>
        <v>10.158333333333333</v>
      </c>
      <c r="I27" s="7">
        <v>45397</v>
      </c>
      <c r="J27" s="6">
        <v>0.75349813231304696</v>
      </c>
      <c r="L27" s="8"/>
      <c r="M27" s="8"/>
      <c r="N27" s="8"/>
      <c r="O27" s="8" t="s">
        <v>42</v>
      </c>
      <c r="P27" s="8">
        <v>2.6741419555516812E-2</v>
      </c>
    </row>
    <row r="28" spans="1:16" ht="12.75" x14ac:dyDescent="0.2">
      <c r="A28" s="6" t="s">
        <v>70</v>
      </c>
      <c r="B28" s="6" t="s">
        <v>45</v>
      </c>
      <c r="C28" s="6">
        <v>2.7428000000000001E-2</v>
      </c>
      <c r="D28" s="6"/>
      <c r="F28" s="7">
        <v>46127</v>
      </c>
      <c r="G28" s="6">
        <v>3.0655145963346599E-2</v>
      </c>
      <c r="H28" s="14">
        <f>YearFraction('Eurodollar Futures'!$C$3,I28,2)</f>
        <v>11.172222222222222</v>
      </c>
      <c r="I28" s="7">
        <v>45762</v>
      </c>
      <c r="J28" s="6">
        <v>0.72196877738579102</v>
      </c>
      <c r="L28" s="8"/>
      <c r="M28" s="8"/>
      <c r="N28" s="8"/>
      <c r="O28" s="8" t="s">
        <v>45</v>
      </c>
      <c r="P28" s="8">
        <v>2.8253183696075563E-2</v>
      </c>
    </row>
    <row r="29" spans="1:16" ht="12.75" x14ac:dyDescent="0.2">
      <c r="A29" s="6" t="s">
        <v>70</v>
      </c>
      <c r="B29" s="6" t="s">
        <v>48</v>
      </c>
      <c r="C29" s="6">
        <v>2.8613E-2</v>
      </c>
      <c r="D29" s="6"/>
      <c r="F29" s="7">
        <v>47224</v>
      </c>
      <c r="G29" s="6">
        <v>3.3062316546898597E-2</v>
      </c>
      <c r="H29" s="14">
        <f>YearFraction('Eurodollar Futures'!$C$3,I29,2)</f>
        <v>12.186111111111112</v>
      </c>
      <c r="I29" s="7">
        <v>46127</v>
      </c>
      <c r="J29" s="6">
        <v>0.69180603529646001</v>
      </c>
      <c r="L29" s="8"/>
      <c r="M29" s="8"/>
      <c r="N29" s="8"/>
      <c r="O29" s="8" t="s">
        <v>48</v>
      </c>
      <c r="P29" s="8">
        <v>2.9571337335266838E-2</v>
      </c>
    </row>
    <row r="30" spans="1:16" ht="12.75" x14ac:dyDescent="0.2">
      <c r="A30" s="6" t="s">
        <v>70</v>
      </c>
      <c r="B30" s="6" t="s">
        <v>51</v>
      </c>
      <c r="C30" s="6">
        <v>2.9588E-2</v>
      </c>
      <c r="D30" s="6"/>
      <c r="F30" s="7">
        <v>49051</v>
      </c>
      <c r="G30" s="6">
        <v>3.5103137261737298E-2</v>
      </c>
      <c r="H30" s="14">
        <f>YearFraction('Eurodollar Futures'!$C$3,I30,2)</f>
        <v>15.233333333333333</v>
      </c>
      <c r="I30" s="7">
        <v>47224</v>
      </c>
      <c r="J30" s="6">
        <v>0.60850510116727397</v>
      </c>
      <c r="L30" s="8"/>
      <c r="M30" s="8"/>
      <c r="N30" s="8"/>
      <c r="O30" s="8" t="s">
        <v>51</v>
      </c>
      <c r="P30" s="8">
        <v>3.0665164440615327E-2</v>
      </c>
    </row>
    <row r="31" spans="1:16" ht="12.75" x14ac:dyDescent="0.2">
      <c r="A31" s="6" t="s">
        <v>70</v>
      </c>
      <c r="B31" s="6" t="s">
        <v>54</v>
      </c>
      <c r="C31" s="6">
        <v>3.1712999999999998E-2</v>
      </c>
      <c r="D31" s="6"/>
      <c r="F31" s="7">
        <v>50875</v>
      </c>
      <c r="G31" s="6">
        <v>3.59521154632488E-2</v>
      </c>
      <c r="H31" s="14">
        <f>YearFraction('Eurodollar Futures'!$C$3,I31,2)</f>
        <v>20.308333333333334</v>
      </c>
      <c r="I31" s="7">
        <v>49051</v>
      </c>
      <c r="J31" s="6">
        <v>0.49503805132634798</v>
      </c>
      <c r="L31" s="8"/>
      <c r="M31" s="8"/>
      <c r="N31" s="8"/>
      <c r="O31" s="8" t="s">
        <v>54</v>
      </c>
      <c r="P31" s="8">
        <v>3.307617105707409E-2</v>
      </c>
    </row>
    <row r="32" spans="1:16" ht="13.5" thickBot="1" x14ac:dyDescent="0.25">
      <c r="A32" s="6" t="s">
        <v>70</v>
      </c>
      <c r="B32" s="6" t="s">
        <v>57</v>
      </c>
      <c r="C32" s="6">
        <v>3.3514000000000002E-2</v>
      </c>
      <c r="D32" s="6"/>
      <c r="F32" s="9">
        <v>52702</v>
      </c>
      <c r="G32" s="10">
        <v>3.62468475601107E-2</v>
      </c>
      <c r="H32" s="14">
        <f>YearFraction('Eurodollar Futures'!$C$3,I32,2)</f>
        <v>25.375</v>
      </c>
      <c r="I32" s="7">
        <v>50875</v>
      </c>
      <c r="J32" s="6">
        <v>0.40665591205217999</v>
      </c>
      <c r="L32" s="8"/>
      <c r="M32" s="8"/>
      <c r="N32" s="8"/>
      <c r="O32" s="8" t="s">
        <v>57</v>
      </c>
      <c r="P32" s="8">
        <v>3.5122145591440557E-2</v>
      </c>
    </row>
    <row r="33" spans="1:16" ht="13.5" thickBot="1" x14ac:dyDescent="0.25">
      <c r="A33" s="6" t="s">
        <v>70</v>
      </c>
      <c r="B33" s="6" t="s">
        <v>60</v>
      </c>
      <c r="C33" s="6">
        <v>3.4318000000000001E-2</v>
      </c>
      <c r="D33" s="6"/>
      <c r="H33" s="15">
        <f>YearFraction('Eurodollar Futures'!$C$3,I33,2)</f>
        <v>30.45</v>
      </c>
      <c r="I33" s="9">
        <v>52702</v>
      </c>
      <c r="J33" s="10">
        <v>0.33668850149798601</v>
      </c>
      <c r="L33" s="8"/>
      <c r="M33" s="8"/>
      <c r="N33" s="8"/>
      <c r="O33" s="8" t="s">
        <v>60</v>
      </c>
      <c r="P33" s="8">
        <v>3.5975248479230372E-2</v>
      </c>
    </row>
    <row r="34" spans="1:16" ht="12.75" x14ac:dyDescent="0.2">
      <c r="A34" s="6" t="s">
        <v>70</v>
      </c>
      <c r="B34" s="6" t="s">
        <v>63</v>
      </c>
      <c r="C34" s="6">
        <v>3.4682999999999999E-2</v>
      </c>
      <c r="D34" s="6"/>
      <c r="J34">
        <f>COUNT(J3:J33)</f>
        <v>31</v>
      </c>
      <c r="L34" s="8"/>
      <c r="M34" s="8"/>
      <c r="N34" s="8"/>
      <c r="O34" s="8" t="s">
        <v>63</v>
      </c>
      <c r="P34" s="8">
        <v>3.6271135869127266E-2</v>
      </c>
    </row>
    <row r="35" spans="1:16" ht="12.75" x14ac:dyDescent="0.2">
      <c r="A35" s="6" t="s">
        <v>70</v>
      </c>
      <c r="B35" s="6" t="s">
        <v>66</v>
      </c>
      <c r="C35" s="6">
        <v>3.4868999999999997E-2</v>
      </c>
      <c r="D35" s="6"/>
      <c r="L35" s="8"/>
      <c r="M35" s="8"/>
      <c r="N35" s="8"/>
      <c r="O35" s="8" t="s">
        <v>66</v>
      </c>
      <c r="P35" s="8">
        <v>3.6639887417807229E-2</v>
      </c>
    </row>
    <row r="36" spans="1:16" ht="13.5" thickBot="1" x14ac:dyDescent="0.25">
      <c r="A36" s="10" t="s">
        <v>70</v>
      </c>
      <c r="B36" s="10" t="s">
        <v>68</v>
      </c>
      <c r="C36" s="10">
        <v>3.4667999999999997E-2</v>
      </c>
      <c r="D36" s="10"/>
      <c r="L36" s="8"/>
      <c r="M36" s="8"/>
      <c r="N36" s="8"/>
      <c r="O36" s="8" t="s">
        <v>68</v>
      </c>
      <c r="P36" s="8">
        <v>3.6861202969853783E-2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1.25" x14ac:dyDescent="0.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Eurodollar Futures</vt:lpstr>
      <vt:lpstr>Market Data</vt:lpstr>
      <vt:lpstr>Sheet3</vt:lpstr>
    </vt:vector>
  </TitlesOfParts>
  <Company>Phoenix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Phoenix</dc:creator>
  <cp:lastModifiedBy>EPerry</cp:lastModifiedBy>
  <dcterms:created xsi:type="dcterms:W3CDTF">2014-04-17T15:10:46Z</dcterms:created>
  <dcterms:modified xsi:type="dcterms:W3CDTF">2020-04-20T21:16:41Z</dcterms:modified>
</cp:coreProperties>
</file>